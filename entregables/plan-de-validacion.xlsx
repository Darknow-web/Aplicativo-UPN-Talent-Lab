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Calendario" sheetId="2" state="visible" r:id="rId4"/>
    <sheet name="A Chatbot" sheetId="3" state="visible" r:id="rId5"/>
    <sheet name="B Detalles" sheetId="4" state="visible" r:id="rId6"/>
    <sheet name="Guiones y ofertas" sheetId="5" state="visible" r:id="rId7"/>
    <sheet name="Registro de resultados" sheetId="6" state="visible" r:id="rId8"/>
    <sheet name="Desempa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<sst xmlns="http://schemas.openxmlformats.org/spreadsheetml/2006/main" count="521" uniqueCount="363">
  <si>
    <t xml:space="preserve">Plan de validación — Chatbot de WhatsApp (A) y Sorpresas y detalles (B)</t>
  </si>
  <si>
    <t xml:space="preserve">Ventana</t>
  </si>
  <si>
    <t xml:space="preserve">Martes 27 de octubre a domingo 22 de noviembre de 2026. Primera venta deseada: 1 de diciembre.</t>
  </si>
  <si>
    <t xml:space="preserve">Quién ejecuta</t>
  </si>
  <si>
    <t xml:space="preserve">Carlos e Indira. La agencia no ejecuta nada: diseñó el plan y calcula el desempate con los registros de ustedes.</t>
  </si>
  <si>
    <t xml:space="preserve">Qué paga cada uno</t>
  </si>
  <si>
    <t xml:space="preserve">Carlos: gastos del chatbot (S/ 30 de consumo en A1; chip S/ 15 solo si se vende el piloto, se paga con el cobro). Indira: gastos de las cajas (S/ 40–60 en B1; S/ 30–40 en B3 solo si B1 pasa). Total del plan: S/ 100–130.</t>
  </si>
  <si>
    <t xml:space="preserve">Tope de horas</t>
  </si>
  <si>
    <t xml:space="preserve">10 horas por semana por persona. La hoja Calendario lo verifica automáticamente.</t>
  </si>
  <si>
    <t xml:space="preserve">Cómo usar este archivo</t>
  </si>
  <si>
    <t xml:space="preserve">1) Lean 'A Chatbot' y 'B Detalles': cada fila es un paso con fecha, responsable, horas y qué hacer exactamente. 2) Cada día que trabajen, anoten horas reales y gasto real en las celdas amarillas y cambien el Estado. 3) Cuando tengan datos (entrevistas, pagos, costos), llénenlos en 'Registro de resultados': las celdas de criterio dicen solas PASA / REPETIR / NO PASA. 4) El 20 de noviembre, con todo lleno, la hoja 'Desempate' calcula el margen por hora de cada negocio. 5) Me traen los resultados con /actualizar.</t>
  </si>
  <si>
    <t xml:space="preserve">Leyenda</t>
  </si>
  <si>
    <t xml:space="preserve">Celdas AMARILLAS = las llenan ustedes. Celdas blancas = fijas (plan) o fórmulas: no las editen. Azul claro = chatbot. Naranja claro = cajas.</t>
  </si>
  <si>
    <t xml:space="preserve">Reglas que no se negocian</t>
  </si>
  <si>
    <t xml:space="preserve">No construir el chatbot completo antes de que alguien pague. No preparar alimentos en casa: solo dulces envasados de marca. No escribir a desconocidos en privado ni puerta a puerta. No gastar más de lo presupuestado por experimento aunque 'falte poco'.</t>
  </si>
  <si>
    <t xml:space="preserve">Los criterios de éxito</t>
  </si>
  <si>
    <t xml:space="preserve">Se fijaron antes de empezar y salen del modelo financiero. Si un experimento no pasa, no se fuerza: se sigue la regla escrita en su fila ('Qué se decide').</t>
  </si>
  <si>
    <t xml:space="preserve">Piloto técnico en la librería</t>
  </si>
  <si>
    <t xml:space="preserve">Decisión de Carlos del 2026-10-23: antes de prometer instalación a un cliente, se monta el bot completo en la librería de la mamá de Indira (filas A3t). Es trabajo EXTRA de Carlos (hasta 20 h) fuera del tope de validación; cuesta S/ 15 de chip. La librería NO cuenta como cliente pagado para el criterio A2: es familia y es el piloto técnico.</t>
  </si>
  <si>
    <t xml:space="preserve">Si ninguna pasa</t>
  </si>
  <si>
    <t xml:space="preserve">Se vuelve a la Fase 3: cliente incógnito si en las entrevistas 2 dueños dijeron que pagarían una evaluación; si no, el taller de apps con IA.</t>
  </si>
  <si>
    <t xml:space="preserve">Estados posibles</t>
  </si>
  <si>
    <t xml:space="preserve">Pendiente · En curso · Hecho · Pasó · Repetir con cambio · No pasó · No aplica</t>
  </si>
  <si>
    <t xml:space="preserve">Ejemplo de fila llena</t>
  </si>
  <si>
    <t xml:space="preserve">Paso A0-2, Estado 'Hecho', Horas reales 0,5, Resultado: 'Recibí el hello_world a las 21:10; captura guardada'. Así de corto basta.</t>
  </si>
  <si>
    <t xml:space="preserve">Horas planificadas por semana y por persona (se calculan desde las hojas de pasos). Tope: 10 h/semana/persona.</t>
  </si>
  <si>
    <t xml:space="preserve">Semana</t>
  </si>
  <si>
    <t xml:space="preserve">Inicio</t>
  </si>
  <si>
    <t xml:space="preserve">Fin</t>
  </si>
  <si>
    <t xml:space="preserve">Carlos chatbot (validación)</t>
  </si>
  <si>
    <t xml:space="preserve">Carlos cajas</t>
  </si>
  <si>
    <t xml:space="preserve">Carlos validación</t>
  </si>
  <si>
    <t xml:space="preserve">¿Carlos ≤ 10?</t>
  </si>
  <si>
    <t xml:space="preserve">Indira chatbot (validación)</t>
  </si>
  <si>
    <t xml:space="preserve">Indira cajas</t>
  </si>
  <si>
    <t xml:space="preserve">Indira validación</t>
  </si>
  <si>
    <t xml:space="preserve">¿Indira ≤ 10?</t>
  </si>
  <si>
    <t xml:space="preserve">S/ chatbot</t>
  </si>
  <si>
    <t xml:space="preserve">S/ cajas</t>
  </si>
  <si>
    <t xml:space="preserve">S/ total</t>
  </si>
  <si>
    <t xml:space="preserve">Carlos piloto técnico (extra)</t>
  </si>
  <si>
    <t xml:space="preserve">Carlos TOTAL</t>
  </si>
  <si>
    <t xml:space="preserve">¿Carlos ≤ 20?</t>
  </si>
  <si>
    <t xml:space="preserve">Indira piloto técnico (extra)</t>
  </si>
  <si>
    <t xml:space="preserve">Indira TOTAL</t>
  </si>
  <si>
    <t xml:space="preserve">¿Indira ≤ 20?</t>
  </si>
  <si>
    <t xml:space="preserve">W1</t>
  </si>
  <si>
    <t xml:space="preserve">W2</t>
  </si>
  <si>
    <t xml:space="preserve">W3</t>
  </si>
  <si>
    <t xml:space="preserve">W4</t>
  </si>
  <si>
    <t xml:space="preserve">TOTAL</t>
  </si>
  <si>
    <t xml:space="preserve">Nota: la fila A3-3 (construcción del piloto) cuenta solo sus 7 h de la semana 4; del 23-nov al 6-dic son hasta 10 h/semana adicionales, fuera de esta ventana. La fila B4-2 cuenta en la semana 4 aunque las entregas sigan hasta el 29-nov.</t>
  </si>
  <si>
    <t xml:space="preserve">Ventanas libres en común: lunes, miércoles y viernes desde las 20:00; sábado; domingo tarde. Indira estudia martes y jueves 19:30–22:40 y domingos 10:00–14:00.</t>
  </si>
  <si>
    <t xml:space="preserve">Piloto técnico (A3t, decisión de Carlos del 2026-10-23): horas EXTRA fuera del tope de 10 h de validación; se controlan contra las 20 h semanales de cada socio. Si una semana marca NO, se recorta el piloto técnico, no la validación.</t>
  </si>
  <si>
    <t xml:space="preserve">A Chatbot — pasos en orden. Amarillo = ustedes llenan. Fechas de 2026.</t>
  </si>
  <si>
    <t xml:space="preserve">Paso</t>
  </si>
  <si>
    <t xml:space="preserve">Experimento</t>
  </si>
  <si>
    <t xml:space="preserve">Qué hacer exactamente</t>
  </si>
  <si>
    <t xml:space="preserve">Responsable</t>
  </si>
  <si>
    <t xml:space="preserve">Horas plan Carlos</t>
  </si>
  <si>
    <t xml:space="preserve">Horas plan Indira</t>
  </si>
  <si>
    <t xml:space="preserve">S/ plan</t>
  </si>
  <si>
    <t xml:space="preserve">Quién paga</t>
  </si>
  <si>
    <t xml:space="preserve">Criterio de éxito / qué se decide</t>
  </si>
  <si>
    <t xml:space="preserve">Estado</t>
  </si>
  <si>
    <t xml:space="preserve">Horas reales Carlos</t>
  </si>
  <si>
    <t xml:space="preserve">Horas reales Indira</t>
  </si>
  <si>
    <t xml:space="preserve">S/ real</t>
  </si>
  <si>
    <t xml:space="preserve">Resultado / notas</t>
  </si>
  <si>
    <t xml:space="preserve">A0-1</t>
  </si>
  <si>
    <t xml:space="preserve">A0 Términos de Meta y número de prueba</t>
  </si>
  <si>
    <t xml:space="preserve">Crear cuenta de desarrollador en developers.facebook.com, crear una app y activar el producto WhatsApp. Anotar el número de prueba que Meta asigna.</t>
  </si>
  <si>
    <t xml:space="preserve">Carlos</t>
  </si>
  <si>
    <t xml:space="preserve">—</t>
  </si>
  <si>
    <t xml:space="preserve">Hecho cuando la app existe y muestra el número de prueba.</t>
  </si>
  <si>
    <t xml:space="preserve">Pendiente</t>
  </si>
  <si>
    <t xml:space="preserve">A0-2</t>
  </si>
  <si>
    <t xml:space="preserve">A0</t>
  </si>
  <si>
    <t xml:space="preserve">Registrar los celulares de Carlos e Indira como destinatarios de prueba y enviar la plantilla hello_world. Guardar captura del mensaje recibido.</t>
  </si>
  <si>
    <t xml:space="preserve">PASA si Carlos recibe el mensaje real en su WhatsApp. Si Meta exige verificación previa y no se logra en 2 h: la demo de A2 se hace simulada en pantalla (S-40 descartado); A2 sigue igual.</t>
  </si>
  <si>
    <t xml:space="preserve">A0-3</t>
  </si>
  <si>
    <t xml:space="preserve">Leer la página de precios de WhatsApp Business Platform para Perú y escribir una nota de 1 página con 4 datos: costo por mensaje (servicio/utilidad/marketing) desde el 1-oct-2026, cuota gratuita mensual, requisitos de verificación del negocio, y si un número puede estar a la vez en la app WhatsApp Business y en la API. Con enlace y fecha.</t>
  </si>
  <si>
    <t xml:space="preserve">Hecho cuando la nota tiene los 4 datos con enlace. Sirve para la oferta de A2 y para el costo variable del modelo (S-29).</t>
  </si>
  <si>
    <t xml:space="preserve">A1-1</t>
  </si>
  <si>
    <t xml:space="preserve">A1 Entrevistas a 5–6 dueños</t>
  </si>
  <si>
    <t xml:space="preserve">Reunión de los dos (miércoles 20:00): imprimir el guion de la hoja 'Guiones y ofertas', repartir contactos (Carlos: academia, galletas, cafetería; Indira: librería, agencia, su local), agendar cada entrevista por WhatsApp o en persona.</t>
  </si>
  <si>
    <t xml:space="preserve">Ambos</t>
  </si>
  <si>
    <t xml:space="preserve">Hecho cuando las 6 entrevistas tienen fecha.</t>
  </si>
  <si>
    <t xml:space="preserve">A1-2</t>
  </si>
  <si>
    <t xml:space="preserve">A1</t>
  </si>
  <si>
    <t xml:space="preserve">Entrevista al dueño de la academia de marinera (amigo de Carlos). Guion de 5 preguntas, respuestas textuales en la hoja 'Registro de resultados'.</t>
  </si>
  <si>
    <t xml:space="preserve">Registrar las 5 respuestas. Si en la P4 dice sí, anotar la fecha.</t>
  </si>
  <si>
    <t xml:space="preserve">A1-3</t>
  </si>
  <si>
    <t xml:space="preserve">Entrevista a la mamá de Indira (librería). Mismo guion.</t>
  </si>
  <si>
    <t xml:space="preserve">Indira</t>
  </si>
  <si>
    <t xml:space="preserve">Registrar las 5 respuestas.</t>
  </si>
  <si>
    <t xml:space="preserve">A1-4</t>
  </si>
  <si>
    <t xml:space="preserve">Entrevista a las amigas de la agencia de contenido (como clientes potenciales y como fuente de referidos: sus clientes atienden WhatsApp). Mismo guion.</t>
  </si>
  <si>
    <t xml:space="preserve">Registrar las 5 respuestas y cuántos clientes suyos atienden WhatsApp.</t>
  </si>
  <si>
    <t xml:space="preserve">A1-5</t>
  </si>
  <si>
    <t xml:space="preserve">Videollamada con la amiga de las galletas. Mismo guion. Preguntar además si vende con registro sanitario o marca formal (dato para B, S-41).</t>
  </si>
  <si>
    <t xml:space="preserve">Registrar las 5 respuestas + registro sanitario sí/no.</t>
  </si>
  <si>
    <t xml:space="preserve">A1-6</t>
  </si>
  <si>
    <t xml:space="preserve">Cafetería de Lima Norte que Carlos frecuenta: ir como cliente, consumir (S/ 15) y conversar con el dueño o encargado con el guion. No es venta: es conversación.</t>
  </si>
  <si>
    <t xml:space="preserve">A1-7</t>
  </si>
  <si>
    <t xml:space="preserve">Tienda o cafetería que Indira frecuenta: igual que A1-6.</t>
  </si>
  <si>
    <t xml:space="preserve">A1-8</t>
  </si>
  <si>
    <t xml:space="preserve">Consolidar las respuestas en la tabla A1 de 'Registro de resultados'. La celda de criterio calcula sola si A1 pasó.</t>
  </si>
  <si>
    <t xml:space="preserve">PASA si ≥ 3 de 5 eligen S/ 80 o más en la P3 y ≥ 1 da fecha en la P4. REPETIR si solo 2 nombran precio y es ≤ S/ 50 (en A2 se ofrece el módulo básico a S/ 50 → S/ 80). NO PASA si ≤ 1 nombra precio: A2 no se hace y el chatbot pasa a la banda 31-ene. Incógnito: ≥ 2 de 5 pagarían ≥ S/ 100 → sigue en reserva.</t>
  </si>
  <si>
    <t xml:space="preserve">A2-1</t>
  </si>
  <si>
    <t xml:space="preserve">A2 Demo y preventa del piloto</t>
  </si>
  <si>
    <t xml:space="preserve">Indira define los 5 indicadores del panel (consultas recibidas, respondidas por el bot, derivadas, tiempo de respuesta, consultas que terminaron en venta o matrícula) y revisa el texto de la oferta (hoja 'Guiones y ofertas').</t>
  </si>
  <si>
    <t xml:space="preserve">Hecho cuando los 5 indicadores están escritos y la oferta tiene precio y fechas.</t>
  </si>
  <si>
    <t xml:space="preserve">A2-2</t>
  </si>
  <si>
    <t xml:space="preserve">A2</t>
  </si>
  <si>
    <t xml:space="preserve">Carlos construye la DEMO con Claude Code en máximo 6 horas cronometradas: (a) si A0 pasó, 10 preguntas frecuentes reales de la academia respondidas desde el número de prueba al celular del dueño; si no, una conversación simulada en una página web con apariencia de WhatsApp; (b) una pantalla estática del panel con los 5 indicadores. NO es el producto.</t>
  </si>
  <si>
    <t xml:space="preserve">Hecho cuando la demo corre de principio a fin en 10 minutos. Anotar las horas reales (S-33).</t>
  </si>
  <si>
    <t xml:space="preserve">A2-3</t>
  </si>
  <si>
    <t xml:space="preserve">Mostrar la demo y hacer la oferta exacta (ver hoja 'Guiones y ofertas') a los que dijeron sí en A1. Carlos: academia y galletas. Indira: librería y locales. En persona o videollamada.</t>
  </si>
  <si>
    <t xml:space="preserve">Se cobra S/ 100 por Yape o Plin SOLO si hay fecha de inicio ≤ 30-nov. Registrar cada pago en la tabla A2.</t>
  </si>
  <si>
    <t xml:space="preserve">A2-4</t>
  </si>
  <si>
    <t xml:space="preserve">Seguimiento por WhatsApp a quienes pidieron pensarlo. Cierre de cobros: domingo 15 de noviembre, 23:59.</t>
  </si>
  <si>
    <t xml:space="preserve">PASA si ≥ 1 dueño QUE NO SEA FAMILIA pagó S/ 100 antes del 15-nov con inicio ≤ 30-nov (2 pagos = escenario base). La librería no cuenta para este criterio aunque pague: es el piloto técnico y es familia. REPETIR si 0 pagos pero ≥ 2 dicen 'sí cuando lo vea funcionando': a UNO se le ofrece por escrito 14 días gratis con cobro de S/ 100 el día 15 si no pide apagarlo, plazo 22-nov. NO PASA si 0 pagos y 0 compromisos: no se construye nada.</t>
  </si>
  <si>
    <t xml:space="preserve">A3t-1</t>
  </si>
  <si>
    <t xml:space="preserve">A3t Piloto técnico en la librería (decisión de Carlos, 2026-10-23)</t>
  </si>
  <si>
    <t xml:space="preserve">Crear el portafolio de Meta y la cuenta de WhatsApp Business A NOMBRE DE LA LIBRERÍA (la mamá de Indira como administradora; Carlos con rol de administrador en el negocio y en la app). Aceptar los términos de la Cloud API. Comprar un chip nuevo que nunca haya estado en WhatsApp (S/ 15). Registrar el número (nombre visible + PIN). Si los mensajes reales no llegan al webhook, pasar la app a modo Live (página de política de privacidad generada por Claude Code). Anotar CADA traba y los minutos de cada paso en una lista: es el checklist de alta que se repetirá con cada cliente.</t>
  </si>
  <si>
    <t xml:space="preserve">PASA si el número real de la librería recibe y responde un mensaje de prueba. Cada traba anotada con cuánto tardó en resolverse. Si una traba no se resuelve en 4 h, se detiene y se me avisa con /actualizar antes de seguir.</t>
  </si>
  <si>
    <t xml:space="preserve">A3t-2</t>
  </si>
  <si>
    <t xml:space="preserve">A3t Piloto técnico</t>
  </si>
  <si>
    <t xml:space="preserve">Sobre la demo, construir el bot mínimo multi-cliente: carpeta clientes/libreria con cliente.json y preguntas.json, derivación real al número de la mamá de Indira, registro en SQLite, contador de mensajes. Indira carga las 10 preguntas REALES de la librería con su mamá.</t>
  </si>
  <si>
    <t xml:space="preserve">Hecho cuando las 10 preguntas responden en el número de la librería y una pregunta fuera de lista llega a la mamá de Indira en menos de 1 minuto. Cronometrar (S-36).</t>
  </si>
  <si>
    <t xml:space="preserve">A3t-3</t>
  </si>
  <si>
    <t xml:space="preserve">Desplegar en el hosting gratuito elegido para que corra 24/7. Dejarlo 3 días recibiendo mensajes de clientes reales de la librería. Exportar el primer reporte CSV y revisarlo con la mamá de Indira. Medir mensajes enviados y costo.</t>
  </si>
  <si>
    <t xml:space="preserve">PASA si está operativo ≤ 15-nov con ≤ 20 h totales de Carlos en A3t y el checklist de alta completo con tiempos. Resultado: la oferta puede prometer 'instalación en X días' con X = días reales medidos. NO PASA si hay una traba estructural de Meta: A2 se vende con la demo pero SIN comprometer fecha de instalación, y la traba se registra con /actualizar.</t>
  </si>
  <si>
    <t xml:space="preserve">A3-1</t>
  </si>
  <si>
    <t xml:space="preserve">A3 Entrega del piloto (solo si A2 pasó)</t>
  </si>
  <si>
    <t xml:space="preserve">Comprar el chip del número dedicado (S/ 15, se paga con el cobro). Crear el número en la Cloud API de Meta.</t>
  </si>
  <si>
    <t xml:space="preserve">Carlos (del cobro)</t>
  </si>
  <si>
    <t xml:space="preserve">Hecho cuando el número nuevo recibe mensajes.</t>
  </si>
  <si>
    <t xml:space="preserve">A3-2</t>
  </si>
  <si>
    <t xml:space="preserve">A3</t>
  </si>
  <si>
    <t xml:space="preserve">Indira carga con el dueño las 10 preguntas frecuentes y sus respuestas exactas; arma la plantilla del reporte semanal en Google Sheets.</t>
  </si>
  <si>
    <t xml:space="preserve">Hecho cuando las 10 respuestas están aprobadas por el dueño.</t>
  </si>
  <si>
    <t xml:space="preserve">A3-3</t>
  </si>
  <si>
    <t xml:space="preserve">Replicar para el cliente que pagó el alta ya probada en la librería (A3t): carpeta clientes/&lt;cliente&gt;, cuenta y número a nombre del cliente, despliegue en el mismo servidor. Cronometrar. Si A3t pasó, esto debería tomar mucho menos de 30 h.</t>
  </si>
  <si>
    <t xml:space="preserve">PASA si el bot está operativo en el número del cliente ≤ 30-nov, con ≤ 30 h cronometradas y costo variable ≤ S/ 35 en los primeros 30 días. Si supera 30 h o S/ 35, no se descarta: la Etapa 2 recalcula con la cifra real.</t>
  </si>
  <si>
    <t xml:space="preserve">D-A</t>
  </si>
  <si>
    <t xml:space="preserve">D Desempate</t>
  </si>
  <si>
    <t xml:space="preserve">Consolidar los registros del chatbot (horas reales, S/ cobrados, costos) en la hoja 'Desempate'. Viernes 20-nov, 20:00, juntos.</t>
  </si>
  <si>
    <t xml:space="preserve">La hoja calcula el margen por hora. El Director lo registra en decisiones.md.</t>
  </si>
  <si>
    <t xml:space="preserve">B Detalles — pasos en orden. Amarillo = ustedes llenan. Fechas de 2026.</t>
  </si>
  <si>
    <t xml:space="preserve">B1-1</t>
  </si>
  <si>
    <t xml:space="preserve">B1 Costeo de una caja real</t>
  </si>
  <si>
    <t xml:space="preserve">Carlos pide por WhatsApp 2 cotizaciones a motorizados conocidos (o que atienden a la librería) y 1 en una app de envíos, para dos rutas: Independencia → Los Olivos e Independencia → Miraflores. Es compra de un servicio, no prospección.</t>
  </si>
  <si>
    <t xml:space="preserve">Anotar los 3 precios por ruta en la tabla B1.</t>
  </si>
  <si>
    <t xml:space="preserve">B1-2</t>
  </si>
  <si>
    <t xml:space="preserve">B1</t>
  </si>
  <si>
    <t xml:space="preserve">Carlos lista 5 cuentas de Instagram de 'detalles Lima' con el precio de una caja comparable SIN alimentos preparados (anotar cuenta, producto, precio, fecha). Referencia ya verificada: SorprendeLima S/ 80–360, siempre con repostería o flores.</t>
  </si>
  <si>
    <t xml:space="preserve">Anotar las 5 en la tabla B1. (La hora de Carlos va en B1-1: 1 h total para B1-1 y B1-2 juntas, repartida 1 + 1 según el plan.)</t>
  </si>
  <si>
    <t xml:space="preserve">B1-3</t>
  </si>
  <si>
    <t xml:space="preserve">Indira compra los insumos de UNA caja con la composición exacta que se venderá: caja rígida decorada, 3–4 dulces envasados de marca (con registro sanitario del fabricante), 1 peluche pequeño o 1 flor, tarjeta, globo sencillo, papel y cinta. Guardar boleta o foto de cada precio.</t>
  </si>
  <si>
    <t xml:space="preserve">Gasto máximo S/ 60. Anotar cada precio en la tabla B1 (la suma se calcula sola).</t>
  </si>
  <si>
    <t xml:space="preserve">B1-4</t>
  </si>
  <si>
    <t xml:space="preserve">Indira arma la caja cronometrada y toma 5 fotos con buena luz (serán las fotos de la oferta).</t>
  </si>
  <si>
    <t xml:space="preserve">Anotar los minutos de armado en la tabla B1.</t>
  </si>
  <si>
    <t xml:space="preserve">B1-5</t>
  </si>
  <si>
    <t xml:space="preserve">Indira completa la tabla de costeo en 'Registro de resultados'. La celda de criterio dice sola si B1 pasó.</t>
  </si>
  <si>
    <t xml:space="preserve">PASA si insumos + empaque + motorizado Lima Norte ≤ S/ 40 (con precio S/ 80 con envío), ≥ 3 de 5 competidores entre S/ 60 y S/ 100, y armado ≤ 1 h. REPETIR si costo S/ 41–50: la preventa sale a S/ 95 / S/ 110 y se verifica que ≥ 3 competidores estén en ese rango. NO PASA si costo &gt; S/ 50 o motorizado &gt; S/ 20 en Lima Norte: B2 y B3 no se hacen; B se descarta por escrito.</t>
  </si>
  <si>
    <t xml:space="preserve">B2-1</t>
  </si>
  <si>
    <t xml:space="preserve">B2 Preventa pagada (2 semanas)</t>
  </si>
  <si>
    <t xml:space="preserve">Publicar la oferta exacta (hoja 'Guiones y ofertas') con las fotos de B1 en: estados de WhatsApp de ambos, Instagram de Indira (o cuenta nueva del negocio que ella crea), grupos de WhatsApp de la UPN de cada uno. Pedir a las amigas de la agencia que compartan (sin pago). NO escribir en privado a nadie que no haya preguntado.</t>
  </si>
  <si>
    <t xml:space="preserve">Hecho cuando está publicada en los 4 canales.</t>
  </si>
  <si>
    <t xml:space="preserve">B2-2</t>
  </si>
  <si>
    <t xml:space="preserve">B2</t>
  </si>
  <si>
    <t xml:space="preserve">Indira responde consultas y registra cada pedido en la tabla B2: fecha, cliente, zona, precio, pagó adelantado sí/no, si es de fuera del círculo cercano, si pidió descuento, fecha de entrega elegida (16 a 29 nov).</t>
  </si>
  <si>
    <t xml:space="preserve">Solo cuenta un pedido cuando el Yape o Plin está recibido.</t>
  </si>
  <si>
    <t xml:space="preserve">B2-3</t>
  </si>
  <si>
    <t xml:space="preserve">Semana 2 de preventa: seguir respondiendo y registrando. Cierre: domingo 15 de noviembre, 23:59. Carlos cuadra los cobros recibidos contra la tabla.</t>
  </si>
  <si>
    <t xml:space="preserve">PASA si ≥ 6 pedidos pagados (≥ S/ 480), ≥ 2 de personas fuera del círculo cercano y ≥ 3 de cada 5 sin pedir descuento. REPETIR si 4–5 pedidos: se extiende hasta el 22-nov con segunda foto y una variante (p. ej., 'para él'); el umbral sigue en 6 acumulados. NO PASA si ≤ 3 pedidos o 0 de fuera del círculo: B se descarta por escrito; lo cobrado se entrega igual.</t>
  </si>
  <si>
    <t xml:space="preserve">B3-1</t>
  </si>
  <si>
    <t xml:space="preserve">B3 Anuncio mínimo (solo si B1 pasó)</t>
  </si>
  <si>
    <t xml:space="preserve">Indira impulsa la publicación de la oferta con botón a WhatsApp. Público: Lima Norte, 20–35 años, 5–6 días. Presupuesto total S/ 30–40. A cada consulta preguntar '¿cómo nos encontraste?' y anotarlo.</t>
  </si>
  <si>
    <t xml:space="preserve">Registrar en la tabla B3: consultas atribuibles al anuncio, gasto real, pedidos pagados de desconocidos.</t>
  </si>
  <si>
    <t xml:space="preserve">B3-2</t>
  </si>
  <si>
    <t xml:space="preserve">B3</t>
  </si>
  <si>
    <t xml:space="preserve">Responder las consultas del anuncio. Viernes 13-nov: Carlos e Indira revisan juntos las métricas del anuncio.</t>
  </si>
  <si>
    <t xml:space="preserve">PASA si ≥ 5 consultas por WhatsApp atribuibles, ≤ S/ 8 por consulta y ≥ 1 pedido pagado de un desconocido. NO PASA: aunque B2 pase, B queda como 'demanda solo de conocidos' y su crecimiento en el modelo baja a 0 %. No se repite con más dinero.</t>
  </si>
  <si>
    <t xml:space="preserve">B4-1</t>
  </si>
  <si>
    <t xml:space="preserve">B4 Entrega (solo si B2 pasó)</t>
  </si>
  <si>
    <t xml:space="preserve">Comprar los insumos de todos los pedidos con los adelantos recibidos (≈ S/ 40 por pedido).</t>
  </si>
  <si>
    <t xml:space="preserve">Adelantos</t>
  </si>
  <si>
    <t xml:space="preserve">Anotar el costo real por pedido en la tabla B2.</t>
  </si>
  <si>
    <t xml:space="preserve">B4-2</t>
  </si>
  <si>
    <t xml:space="preserve">B4</t>
  </si>
  <si>
    <t xml:space="preserve">Sábado 21-nov: armar las cajas por lotes, cronometrando. Coordinar motorizados por fecha de entrega; enviar foto de la entrega a cada cliente.</t>
  </si>
  <si>
    <t xml:space="preserve">PASA si costo real promedio ≤ S/ 40 por pedido y ≤ 1,5 h por pedido entre armado y coordinación. Si se supera, la Etapa 2 recalcula con las cifras reales.</t>
  </si>
  <si>
    <t xml:space="preserve">D-B</t>
  </si>
  <si>
    <t xml:space="preserve">Consolidar los registros de las cajas (horas reales, S/ cobrados, costos) en la hoja 'Desempate'. Viernes 20-nov, 20:00, juntos.</t>
  </si>
  <si>
    <t xml:space="preserve">La hoja calcula el margen por hora.</t>
  </si>
  <si>
    <t xml:space="preserve">GUION A1 — entrevista (5 preguntas, en este orden, sin sugerir respuestas; anotar textual)</t>
  </si>
  <si>
    <t xml:space="preserve">P1 (S-20)</t>
  </si>
  <si>
    <t xml:space="preserve">¿Cuántos mensajes de clientes recibe por WhatsApp en una semana normal y quién los responde? → anotar número y quién.</t>
  </si>
  <si>
    <t xml:space="preserve">P2 (problema)</t>
  </si>
  <si>
    <t xml:space="preserve">¿Cuáles son las 3 preguntas que más se repiten, y cuántas ventas o matrículas cree que pierde al mes por responder tarde o fuera de horario? → anotar cifra aunque sea aproximada.</t>
  </si>
  <si>
    <t xml:space="preserve">P3 (S-10, S-34)</t>
  </si>
  <si>
    <t xml:space="preserve">Si un asistente automático respondiera esas preguntas las 24 horas, derivara a usted lo que no sabe y le enviara cada semana cuántas consultas terminaron en venta, ¿cuánto pagaría al mes? Elija: nada / S/ 50 / S/ 100 / S/ 150 / S/ 200.</t>
  </si>
  <si>
    <t xml:space="preserve">P4 (S-08, S-14)</t>
  </si>
  <si>
    <t xml:space="preserve">¿Aceptaría probarlo 30 días en un número nuevo del negocio pagando S/ 100 por adelantado, y qué fecha le vendría bien para empezar? → sí/no y fecha.</t>
  </si>
  <si>
    <t xml:space="preserve">P5 (incógnito, S-09)</t>
  </si>
  <si>
    <t xml:space="preserve">Aparte de eso: ¿pagaría S/ 100 a S/ 150 por una visita de cliente incógnito a su local, un informe de 2 páginas y 45 minutos de capacitación a su personal? ¿Cuánto? → monto y si hoy compra algo parecido.</t>
  </si>
  <si>
    <t xml:space="preserve">Cierre (S-28)</t>
  </si>
  <si>
    <t xml:space="preserve">Si respondió sí en la P4: ¿necesita factura o le basta boleta / Yape?</t>
  </si>
  <si>
    <t xml:space="preserve">OFERTA A2 — texto exacto del piloto</t>
  </si>
  <si>
    <t xml:space="preserve">"Piloto de 30 días: un asistente en un número nuevo de WhatsApp de su negocio que responde sus 10 preguntas más frecuentes a toda hora, le deriva lo que no sabe y le manda un reporte semanal con 5 indicadores. Precio del piloto: S/ 100, pagados por adelantado por Yape o Plin. Si sigue, S/ 150 al mes desde el segundo mes; si no, se apaga sin costo. Instalación en 14 días desde el pago; arranque a más tardar el lunes 30 de noviembre."</t>
  </si>
  <si>
    <t xml:space="preserve">Regla de cobro</t>
  </si>
  <si>
    <t xml:space="preserve">Se cobra SOLO si hay fecha de inicio ≤ 30-nov. Sin fecha no hay cobro. No se regala el primer mes.</t>
  </si>
  <si>
    <t xml:space="preserve">OFERTA B2 — texto exacto de la Caja Detalle</t>
  </si>
  <si>
    <t xml:space="preserve">"Caja Detalle — para cumpleaños, aniversario o 'me acordé de ti'. Caja decorada, 3 dulces de marca, peluche pequeño o flor, tarjeta con tu mensaje y globo. S/ 80 con envío incluido en Independencia, Los Olivos, San Martín de Porres y Comas; S/ 95 en el resto de Lima. Pago por Yape o Plin al hacer el pedido. Elige la fecha de entrega entre el lunes 16 y el domingo 29 de noviembre; te mandamos foto de la entrega. Pedidos hasta el domingo 15 de noviembre."</t>
  </si>
  <si>
    <t xml:space="preserve">Si B1 terminó en REPETIR</t>
  </si>
  <si>
    <t xml:space="preserve">Los precios pasan a S/ 95 (Lima Norte) / S/ 110 (resto de Lima). Todo lo demás igual.</t>
  </si>
  <si>
    <t xml:space="preserve">Canales permitidos</t>
  </si>
  <si>
    <t xml:space="preserve">Estados de WhatsApp de ambos · Instagram de Indira o cuenta nueva del negocio · grupos de WhatsApp de la UPN · amigas de la agencia compartiendo sin pago · anuncio B3 con métrica. Prohibido: mensajes en frío, puerta a puerta.</t>
  </si>
  <si>
    <t xml:space="preserve">CONTACTOS</t>
  </si>
  <si>
    <t xml:space="preserve">Academia de marinera</t>
  </si>
  <si>
    <t xml:space="preserve">Dueño, amigo cercano de Carlos → entrevista A1-2 (Carlos), demo A2-3 (Carlos). Candidato a piloto del chatbot.</t>
  </si>
  <si>
    <t xml:space="preserve">Librería</t>
  </si>
  <si>
    <t xml:space="preserve">Mamá de Indira → entrevista A1-3 (Indira), demo A2-3 (Indira). También: motorizado que atiende a la librería (B1-1).</t>
  </si>
  <si>
    <t xml:space="preserve">Agencia de contenido</t>
  </si>
  <si>
    <t xml:space="preserve">Amigas de la UPN, recién iniciada → entrevista A1-4 (Indira). Difusoras de la oferta B2 sin pago.</t>
  </si>
  <si>
    <t xml:space="preserve">Galletas</t>
  </si>
  <si>
    <t xml:space="preserve">Amiga que vende por redes → entrevista A1-5 (Carlos, videollamada). Preguntar registro sanitario (S-41).</t>
  </si>
  <si>
    <t xml:space="preserve">Cafetería / tienda de Lima Norte</t>
  </si>
  <si>
    <t xml:space="preserve">Una que frecuenta Carlos (A1-6) y una que frecuenta Indira (A1-7). Ir como clientes.</t>
  </si>
  <si>
    <t xml:space="preserve">AJUSTE 2026-10-22 — META (verificado en fuentes oficiales)</t>
  </si>
  <si>
    <t xml:space="preserve">A0: dónde entrar</t>
  </si>
  <si>
    <t xml:space="preserve">developers.facebook.com → App Dashboard → tu app → WhatsApp → API Setup. Ahí Meta asigna un número de prueba sin verificación ni tarjeta (Carlos lo confirmó el 22-oct: funciona, máximo 5 destinatarios). NO entrar por Business Suite / WhatsApp Manager: ahí aparece el flujo de verificación con documentos.</t>
  </si>
  <si>
    <t xml:space="preserve">A2: pregunta adicional (S-47)</t>
  </si>
  <si>
    <t xml:space="preserve">"La cuenta de WhatsApp Business y el número quedan a nombre de su negocio; usted registra su tarjeta en Meta solo para el excedente sobre los 1 000 mensajes gratuitos al mes. ¿Está de acuerdo?" → anotar sí/no.</t>
  </si>
  <si>
    <t xml:space="preserve">A3 / A3t: cómo se instala</t>
  </si>
  <si>
    <t xml:space="preserve">Cuenta y número a nombre del cliente (chip nuevo, nunca registrado en WhatsApp); Carlos con rol de administrador en su negocio y en la app. Sin verificar el negocio: un bot que solo responde dentro de la ventana de 24 h no toca el límite de 250. Aceptar los términos de la Cloud API antes de enviar. Verificación con RUC: Etapa 2.</t>
  </si>
  <si>
    <t xml:space="preserve">Webhook (paso 2 del panel)</t>
  </si>
  <si>
    <t xml:space="preserve">URL = dirección https del túnel terminada en /webhook; token = META_VERIFY_TOKEN del .env; luego suscribirse al campo 'messages'. No registrar el celular personal (Meta lo sacaría de WhatsApp). Si los mensajes reales no llegan con la app sin publicar, pasar la app a modo Live (política de privacidad).</t>
  </si>
  <si>
    <t xml:space="preserve">Registro de resultados — llenen las celdas amarillas. Las celdas 'Criterio' se calculan solas.</t>
  </si>
  <si>
    <t xml:space="preserve">A1 — Entrevistas (una fila por entrevista)</t>
  </si>
  <si>
    <t xml:space="preserve">Contacto</t>
  </si>
  <si>
    <t xml:space="preserve">Entrevistador</t>
  </si>
  <si>
    <t xml:space="preserve">Fecha</t>
  </si>
  <si>
    <t xml:space="preserve">P1 mensajes/semana</t>
  </si>
  <si>
    <t xml:space="preserve">P2 preguntas repetidas y ventas perdidas/mes</t>
  </si>
  <si>
    <t xml:space="preserve">P3 pagaría S/ al mes</t>
  </si>
  <si>
    <t xml:space="preserve">P4 acepta piloto</t>
  </si>
  <si>
    <t xml:space="preserve">P4 fecha inicio</t>
  </si>
  <si>
    <t xml:space="preserve">P5 incógnito S/</t>
  </si>
  <si>
    <t xml:space="preserve">Cierre: factura</t>
  </si>
  <si>
    <t xml:space="preserve">Notas</t>
  </si>
  <si>
    <t xml:space="preserve">Librería (mamá de Indira)</t>
  </si>
  <si>
    <t xml:space="preserve">Cafetería de Carlos</t>
  </si>
  <si>
    <t xml:space="preserve">Local de Indira</t>
  </si>
  <si>
    <t xml:space="preserve">Entrevistas completas</t>
  </si>
  <si>
    <t xml:space="preserve">Eligen ≥ S/ 80 al mes (P3)</t>
  </si>
  <si>
    <t xml:space="preserve">Dan fecha de piloto (P4 = Sí)</t>
  </si>
  <si>
    <t xml:space="preserve">Nombran algún precio &gt; 0 (P3)</t>
  </si>
  <si>
    <t xml:space="preserve">Reciben &lt; 1 000 mensajes/mes (P1 &lt; 231/semana)</t>
  </si>
  <si>
    <t xml:space="preserve">Incógnito: pagarían ≥ S/ 100 (P5)</t>
  </si>
  <si>
    <t xml:space="preserve">CRITERIO A1</t>
  </si>
  <si>
    <t xml:space="preserve">Incógnito (reserva)</t>
  </si>
  <si>
    <t xml:space="preserve">Costo variable del modelo (S-29)</t>
  </si>
  <si>
    <t xml:space="preserve">A2 — Pagos del piloto (una fila por cliente)</t>
  </si>
  <si>
    <t xml:space="preserve">Cliente</t>
  </si>
  <si>
    <t xml:space="preserve">Resultado de la demo</t>
  </si>
  <si>
    <t xml:space="preserve">Fecha de pago</t>
  </si>
  <si>
    <t xml:space="preserve">Monto pagado S/</t>
  </si>
  <si>
    <t xml:space="preserve">Fecha de inicio acordada</t>
  </si>
  <si>
    <t xml:space="preserve">Confirma mes 2 (S/ 150)</t>
  </si>
  <si>
    <t xml:space="preserve">Mensualidad acordada S/</t>
  </si>
  <si>
    <t xml:space="preserve">Es familiar (no cuenta)</t>
  </si>
  <si>
    <t xml:space="preserve">Pagos recibidos de no familiares</t>
  </si>
  <si>
    <t xml:space="preserve">S/ cobrados por adelantado</t>
  </si>
  <si>
    <t xml:space="preserve">Compromisos 'sí cuando lo vea'</t>
  </si>
  <si>
    <t xml:space="preserve">Clientes que confirman mes 2</t>
  </si>
  <si>
    <t xml:space="preserve">CRITERIO A2</t>
  </si>
  <si>
    <t xml:space="preserve">B1 — Costeo de la caja real</t>
  </si>
  <si>
    <t xml:space="preserve">Ítem</t>
  </si>
  <si>
    <t xml:space="preserve">Dónde se compró / nota</t>
  </si>
  <si>
    <t xml:space="preserve">Caja rígida decorada</t>
  </si>
  <si>
    <t xml:space="preserve">Dulce envasado 1</t>
  </si>
  <si>
    <t xml:space="preserve">Dulce envasado 2</t>
  </si>
  <si>
    <t xml:space="preserve">Dulce envasado 3</t>
  </si>
  <si>
    <t xml:space="preserve">Dulce envasado 4 (opcional)</t>
  </si>
  <si>
    <t xml:space="preserve">Peluche pequeño o flor</t>
  </si>
  <si>
    <t xml:space="preserve">Tarjeta</t>
  </si>
  <si>
    <t xml:space="preserve">Globo</t>
  </si>
  <si>
    <t xml:space="preserve">Papel y cinta</t>
  </si>
  <si>
    <t xml:space="preserve">Motorizado Lima Norte (menor de 3 cotizaciones)</t>
  </si>
  <si>
    <t xml:space="preserve">COSTO TOTAL POR PEDIDO</t>
  </si>
  <si>
    <t xml:space="preserve">Motorizado Lima Norte (S/)</t>
  </si>
  <si>
    <t xml:space="preserve">Motorizado Lima centro-sur (S/)</t>
  </si>
  <si>
    <t xml:space="preserve">Minutos de armado</t>
  </si>
  <si>
    <t xml:space="preserve">Competidores en Instagram (5): cuenta → precio S/</t>
  </si>
  <si>
    <t xml:space="preserve">Precio S/</t>
  </si>
  <si>
    <t xml:space="preserve">Cuenta y producto</t>
  </si>
  <si>
    <t xml:space="preserve">Cuenta 1</t>
  </si>
  <si>
    <t xml:space="preserve">Cuenta 2</t>
  </si>
  <si>
    <t xml:space="preserve">Cuenta 3</t>
  </si>
  <si>
    <t xml:space="preserve">Cuenta 4</t>
  </si>
  <si>
    <t xml:space="preserve">Cuenta 5</t>
  </si>
  <si>
    <t xml:space="preserve">Competidores entre S/ 60 y S/ 100</t>
  </si>
  <si>
    <t xml:space="preserve">CRITERIO B1</t>
  </si>
  <si>
    <t xml:space="preserve">B2 — Pedidos de la preventa (una fila por pedido; solo cuenta con Yape/Plin recibido)</t>
  </si>
  <si>
    <t xml:space="preserve">Fecha pedido</t>
  </si>
  <si>
    <t xml:space="preserve">Zona (LN / resto)</t>
  </si>
  <si>
    <t xml:space="preserve">Precio cobrado S/</t>
  </si>
  <si>
    <t xml:space="preserve">Pagó adelantado</t>
  </si>
  <si>
    <t xml:space="preserve">Fuera del círculo cercano</t>
  </si>
  <si>
    <t xml:space="preserve">Pidió descuento</t>
  </si>
  <si>
    <t xml:space="preserve">Fecha de entrega</t>
  </si>
  <si>
    <t xml:space="preserve">Costo real S/</t>
  </si>
  <si>
    <t xml:space="preserve">Minutos armado+coordinación</t>
  </si>
  <si>
    <t xml:space="preserve">Pedidos pagados</t>
  </si>
  <si>
    <t xml:space="preserve">S/ cobrados</t>
  </si>
  <si>
    <t xml:space="preserve">Pedidos de fuera del círculo cercano</t>
  </si>
  <si>
    <t xml:space="preserve">Pagaron sin pedir descuento</t>
  </si>
  <si>
    <t xml:space="preserve">Costo real total (S/)</t>
  </si>
  <si>
    <t xml:space="preserve">Costo real promedio por pedido (S/)</t>
  </si>
  <si>
    <t xml:space="preserve">Minutos promedio por pedido</t>
  </si>
  <si>
    <t xml:space="preserve">CRITERIO B2</t>
  </si>
  <si>
    <t xml:space="preserve">B3 — Anuncio mínimo</t>
  </si>
  <si>
    <t xml:space="preserve">Consultas por WhatsApp atribuibles al anuncio</t>
  </si>
  <si>
    <t xml:space="preserve">Gasto real del anuncio (S/)</t>
  </si>
  <si>
    <t xml:space="preserve">Pedidos pagados de desconocidos por el anuncio</t>
  </si>
  <si>
    <t xml:space="preserve">Costo por consulta (S/)</t>
  </si>
  <si>
    <t xml:space="preserve">CRITERIO B3</t>
  </si>
  <si>
    <t xml:space="preserve">Desempate — margen real por hora a 3 meses (MRH). Regla fijada el 2026-10-21, aceptada por los socios el 2026-10-22.</t>
  </si>
  <si>
    <t xml:space="preserve">Las celdas amarillas se llenan el viernes 20-nov con los registros reales. Lo demás se calcula. La versión oficial del cálculo vive en finanzas/modelo.py (--desempate); esta hoja debe dar lo mismo.</t>
  </si>
  <si>
    <t xml:space="preserve">A — CHATBOT</t>
  </si>
  <si>
    <t xml:space="preserve">S/ cobrados por adelantado (de Registro A2)</t>
  </si>
  <si>
    <t xml:space="preserve">fórmula</t>
  </si>
  <si>
    <t xml:space="preserve">Costos directos reales del piloto: chip + Meta + IA + hosting (S/)</t>
  </si>
  <si>
    <t xml:space="preserve">llenar</t>
  </si>
  <si>
    <t xml:space="preserve">Clientes que confirman seguir el mes 2 (de Registro A2)</t>
  </si>
  <si>
    <t xml:space="preserve">Mensualidad acordada por escrito (S/)</t>
  </si>
  <si>
    <t xml:space="preserve">llenar si cambió; plan: 150</t>
  </si>
  <si>
    <t xml:space="preserve">Costo variable modelado por cliente al mes (S-29)</t>
  </si>
  <si>
    <t xml:space="preserve">fijo del modelo</t>
  </si>
  <si>
    <t xml:space="preserve">Horas reales A0 + A1 + A2 (de 'A Chatbot', pasos A0-1 a A2-4, Carlos + Indira)</t>
  </si>
  <si>
    <t xml:space="preserve">Horas reales de construcción: piloto técnico A3t + réplica A3 (si no terminó: 30)</t>
  </si>
  <si>
    <t xml:space="preserve">Horas de operación: 2 h × clientes × 2 meses</t>
  </si>
  <si>
    <t xml:space="preserve">Margen A a 3 meses (S/)</t>
  </si>
  <si>
    <t xml:space="preserve">Horas A</t>
  </si>
  <si>
    <t xml:space="preserve">MRH A (S/ por hora)</t>
  </si>
  <si>
    <t xml:space="preserve">B — DETALLES</t>
  </si>
  <si>
    <t xml:space="preserve">S/ cobrados por adelantado (de Registro B2)</t>
  </si>
  <si>
    <t xml:space="preserve">Costos reales de insumos, empaque y motorizado de esos pedidos (de Registro B2)</t>
  </si>
  <si>
    <t xml:space="preserve">Horas reales B1 + B2 + B3 + B4 (de 'B Detalles', Carlos + Indira)</t>
  </si>
  <si>
    <t xml:space="preserve">Margen B (S/)</t>
  </si>
  <si>
    <t xml:space="preserve">MRH B (S/ por hora)</t>
  </si>
  <si>
    <t xml:space="preserve">RESULTADO</t>
  </si>
  <si>
    <t xml:space="preserve">¿A pasó A2?</t>
  </si>
  <si>
    <t xml:space="preserve">¿B pasó B2?</t>
  </si>
  <si>
    <t xml:space="preserve">Recomendación de la agencia</t>
  </si>
  <si>
    <t xml:space="preserve">Secundaria: % de soles de B cobrados fuera del círculo cercano</t>
  </si>
  <si>
    <t xml:space="preserve">se reporta, no decide</t>
  </si>
  <si>
    <t xml:space="preserve">Ilustración del plan (solo escala, no es dato): A con 1 piloto y 30 h ≈ S/ 6/h; A con 2 pilotos ≈ S/ 10/h; B con 6 pedidos a costo S/ 40 ≈ S/ 10/h. El desempate está abierto.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</si>
</sst>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d\ dd\-mmm"/>
    <numFmt numFmtId="166" formatCode="&quot;S/ &quot;#,##0.0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3" t="s">
        <v>2</v>
      </c>
    </row>
    <row r="3" customFormat="false" ht="30" hidden="false" customHeight="true" outlineLevel="0" collapsed="false">
      <c r="A3" s="2" t="s">
        <v>3</v>
      </c>
      <c r="B3" s="3" t="s">
        <v>4</v>
      </c>
    </row>
    <row r="4" customFormat="false" ht="45" hidden="false" customHeight="true" outlineLevel="0" collapsed="false">
      <c r="A4" s="2" t="s">
        <v>5</v>
      </c>
      <c r="B4" s="3" t="s">
        <v>6</v>
      </c>
    </row>
    <row r="5" customFormat="false" ht="15" hidden="false" customHeight="true" outlineLevel="0" collapsed="false">
      <c r="A5" s="2" t="s">
        <v>7</v>
      </c>
      <c r="B5" s="3" t="s">
        <v>8</v>
      </c>
    </row>
    <row r="6" customFormat="false" ht="90" hidden="false" customHeight="true" outlineLevel="0" collapsed="false">
      <c r="A6" s="2" t="s">
        <v>9</v>
      </c>
      <c r="B6" s="3" t="s">
        <v>10</v>
      </c>
    </row>
    <row r="7" customFormat="false" ht="30" hidden="false" customHeight="true" outlineLevel="0" collapsed="false">
      <c r="A7" s="2" t="s">
        <v>11</v>
      </c>
      <c r="B7" s="3" t="s">
        <v>12</v>
      </c>
    </row>
    <row r="8" customFormat="false" ht="45" hidden="false" customHeight="true" outlineLevel="0" collapsed="false">
      <c r="A8" s="2" t="s">
        <v>13</v>
      </c>
      <c r="B8" s="3" t="s">
        <v>14</v>
      </c>
    </row>
    <row r="9" customFormat="false" ht="30" hidden="false" customHeight="true" outlineLevel="0" collapsed="false">
      <c r="A9" s="2" t="s">
        <v>15</v>
      </c>
      <c r="B9" s="3" t="s">
        <v>16</v>
      </c>
    </row>
    <row r="10" customFormat="false" ht="60" hidden="false" customHeight="true" outlineLevel="0" collapsed="false">
      <c r="A10" s="2" t="s">
        <v>17</v>
      </c>
      <c r="B10" s="3" t="s">
        <v>18</v>
      </c>
    </row>
    <row r="11" customFormat="false" ht="30" hidden="false" customHeight="true" outlineLevel="0" collapsed="false">
      <c r="A11" s="2" t="s">
        <v>19</v>
      </c>
      <c r="B11" s="3" t="s">
        <v>20</v>
      </c>
    </row>
    <row r="13" customFormat="false" ht="15" hidden="false" customHeight="false" outlineLevel="0" collapsed="false">
      <c r="A13" s="2" t="s">
        <v>21</v>
      </c>
      <c r="B13" s="4" t="s">
        <v>22</v>
      </c>
    </row>
    <row r="15" customFormat="false" ht="23.85" hidden="false" customHeight="false" outlineLevel="0" collapsed="false">
      <c r="A15" s="2" t="s">
        <v>23</v>
      </c>
      <c r="B15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4" min="12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3"/>
  </cols>
  <sheetData>
    <row r="1" customFormat="false" ht="15" hidden="false" customHeight="false" outlineLevel="0" collapsed="false">
      <c r="A1" s="2" t="s">
        <v>25</v>
      </c>
    </row>
    <row r="2" customFormat="false" ht="35.05" hidden="false" customHeight="false" outlineLevel="0" collapsed="false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</row>
    <row r="3" customFormat="false" ht="15" hidden="false" customHeight="false" outlineLevel="0" collapsed="false">
      <c r="A3" s="6" t="s">
        <v>46</v>
      </c>
      <c r="B3" s="7" t="n">
        <v>46322</v>
      </c>
      <c r="C3" s="7" t="n">
        <v>46327</v>
      </c>
      <c r="D3" s="6" t="n">
        <f aca="false">SUMIFS('A Chatbot'!G$3:G$24,'A Chatbot'!$D$3:$D$24,"&gt;="&amp;$B3,'A Chatbot'!$D$3:$D$24,"&lt;="&amp;$C3)-O3</f>
        <v>6</v>
      </c>
      <c r="E3" s="6" t="n">
        <f aca="false">SUMIFS('B Detalles'!G$3:G$15,'B Detalles'!$D$3:$D$15,"&gt;="&amp;$B3,'B Detalles'!$D$3:$D$15,"&lt;="&amp;$C3)</f>
        <v>1</v>
      </c>
      <c r="F3" s="6" t="n">
        <f aca="false">D3+E3</f>
        <v>7</v>
      </c>
      <c r="G3" s="6" t="str">
        <f aca="false">IF(F3&lt;=10,"Sí","NO: recortar")</f>
        <v>Sí</v>
      </c>
      <c r="H3" s="6" t="n">
        <f aca="false">SUMIFS('A Chatbot'!H$3:H$24,'A Chatbot'!$D$3:$D$24,"&gt;="&amp;$B3,'A Chatbot'!$D$3:$D$24,"&lt;="&amp;$C3)-R3</f>
        <v>2</v>
      </c>
      <c r="I3" s="6" t="n">
        <f aca="false">SUMIFS('B Detalles'!H$3:H$15,'B Detalles'!$D$3:$D$15,"&gt;="&amp;$B3,'B Detalles'!$D$3:$D$15,"&lt;="&amp;$C3)</f>
        <v>4</v>
      </c>
      <c r="J3" s="6" t="n">
        <f aca="false">H3+I3</f>
        <v>6</v>
      </c>
      <c r="K3" s="6" t="str">
        <f aca="false">IF(J3&lt;=10,"Sí","NO: recortar")</f>
        <v>Sí</v>
      </c>
      <c r="L3" s="6" t="n">
        <f aca="false">SUMIFS('A Chatbot'!I$3:I$24,'A Chatbot'!$D$3:$D$24,"&gt;="&amp;$B3,'A Chatbot'!$D$3:$D$24,"&lt;="&amp;$C3)</f>
        <v>15</v>
      </c>
      <c r="M3" s="6" t="n">
        <f aca="false">SUMIFS('B Detalles'!I$3:I$15,'B Detalles'!$D$3:$D$15,"&gt;="&amp;$B3,'B Detalles'!$D$3:$D$15,"&lt;="&amp;$C3)</f>
        <v>50</v>
      </c>
      <c r="N3" s="6" t="n">
        <f aca="false">L3+M3</f>
        <v>65</v>
      </c>
      <c r="O3" s="6" t="n">
        <f aca="false">'A Chatbot'!G18</f>
        <v>4</v>
      </c>
      <c r="P3" s="6" t="n">
        <f aca="false">F3+O3</f>
        <v>11</v>
      </c>
      <c r="Q3" s="6" t="str">
        <f aca="false">IF(P3&lt;=20,"Sí","NO: recortar")</f>
        <v>Sí</v>
      </c>
      <c r="R3" s="6" t="n">
        <f aca="false">'A Chatbot'!H18</f>
        <v>1</v>
      </c>
      <c r="S3" s="6" t="n">
        <f aca="false">J3+R3</f>
        <v>7</v>
      </c>
      <c r="T3" s="6" t="str">
        <f aca="false">IF(S3&lt;=20,"Sí","NO: recortar")</f>
        <v>Sí</v>
      </c>
    </row>
    <row r="4" customFormat="false" ht="15" hidden="false" customHeight="false" outlineLevel="0" collapsed="false">
      <c r="A4" s="6" t="s">
        <v>47</v>
      </c>
      <c r="B4" s="7" t="n">
        <v>46328</v>
      </c>
      <c r="C4" s="7" t="n">
        <v>46334</v>
      </c>
      <c r="D4" s="6" t="n">
        <f aca="false">SUMIFS('A Chatbot'!G$3:G$24,'A Chatbot'!$D$3:$D$24,"&gt;="&amp;$B4,'A Chatbot'!$D$3:$D$24,"&lt;="&amp;$C4)-O4</f>
        <v>8.5</v>
      </c>
      <c r="E4" s="6" t="n">
        <f aca="false">SUMIFS('B Detalles'!G$3:G$15,'B Detalles'!$D$3:$D$15,"&gt;="&amp;$B4,'B Detalles'!$D$3:$D$15,"&lt;="&amp;$C4)</f>
        <v>0.5</v>
      </c>
      <c r="F4" s="6" t="n">
        <f aca="false">D4+E4</f>
        <v>9</v>
      </c>
      <c r="G4" s="6" t="str">
        <f aca="false">IF(F4&lt;=10,"Sí","NO: recortar")</f>
        <v>Sí</v>
      </c>
      <c r="H4" s="6" t="n">
        <f aca="false">SUMIFS('A Chatbot'!H$3:H$24,'A Chatbot'!$D$3:$D$24,"&gt;="&amp;$B4,'A Chatbot'!$D$3:$D$24,"&lt;="&amp;$C4)-R4</f>
        <v>4</v>
      </c>
      <c r="I4" s="6" t="n">
        <f aca="false">SUMIFS('B Detalles'!H$3:H$15,'B Detalles'!$D$3:$D$15,"&gt;="&amp;$B4,'B Detalles'!$D$3:$D$15,"&lt;="&amp;$C4)</f>
        <v>3.5</v>
      </c>
      <c r="J4" s="6" t="n">
        <f aca="false">H4+I4</f>
        <v>7.5</v>
      </c>
      <c r="K4" s="6" t="str">
        <f aca="false">IF(J4&lt;=10,"Sí","NO: recortar")</f>
        <v>Sí</v>
      </c>
      <c r="L4" s="6" t="n">
        <f aca="false">SUMIFS('A Chatbot'!I$3:I$24,'A Chatbot'!$D$3:$D$24,"&gt;="&amp;$B4,'A Chatbot'!$D$3:$D$24,"&lt;="&amp;$C4)</f>
        <v>30</v>
      </c>
      <c r="M4" s="6" t="n">
        <f aca="false">SUMIFS('B Detalles'!I$3:I$15,'B Detalles'!$D$3:$D$15,"&gt;="&amp;$B4,'B Detalles'!$D$3:$D$15,"&lt;="&amp;$C4)</f>
        <v>0</v>
      </c>
      <c r="N4" s="6" t="n">
        <f aca="false">L4+M4</f>
        <v>30</v>
      </c>
      <c r="O4" s="6" t="n">
        <f aca="false">'A Chatbot'!G19</f>
        <v>8</v>
      </c>
      <c r="P4" s="6" t="n">
        <f aca="false">F4+O4</f>
        <v>17</v>
      </c>
      <c r="Q4" s="6" t="str">
        <f aca="false">IF(P4&lt;=20,"Sí","NO: recortar")</f>
        <v>Sí</v>
      </c>
      <c r="R4" s="6" t="n">
        <f aca="false">'A Chatbot'!H19</f>
        <v>1.5</v>
      </c>
      <c r="S4" s="6" t="n">
        <f aca="false">J4+R4</f>
        <v>9</v>
      </c>
      <c r="T4" s="6" t="str">
        <f aca="false">IF(S4&lt;=20,"Sí","NO: recortar")</f>
        <v>Sí</v>
      </c>
    </row>
    <row r="5" customFormat="false" ht="15" hidden="false" customHeight="false" outlineLevel="0" collapsed="false">
      <c r="A5" s="6" t="s">
        <v>48</v>
      </c>
      <c r="B5" s="7" t="n">
        <v>46335</v>
      </c>
      <c r="C5" s="7" t="n">
        <v>46341</v>
      </c>
      <c r="D5" s="6" t="n">
        <f aca="false">SUMIFS('A Chatbot'!G$3:G$24,'A Chatbot'!$D$3:$D$24,"&gt;="&amp;$B5,'A Chatbot'!$D$3:$D$24,"&lt;="&amp;$C5)-O5</f>
        <v>3</v>
      </c>
      <c r="E5" s="6" t="n">
        <f aca="false">SUMIFS('B Detalles'!G$3:G$15,'B Detalles'!$D$3:$D$15,"&gt;="&amp;$B5,'B Detalles'!$D$3:$D$15,"&lt;="&amp;$C5)</f>
        <v>1</v>
      </c>
      <c r="F5" s="6" t="n">
        <f aca="false">D5+E5</f>
        <v>4</v>
      </c>
      <c r="G5" s="6" t="str">
        <f aca="false">IF(F5&lt;=10,"Sí","NO: recortar")</f>
        <v>Sí</v>
      </c>
      <c r="H5" s="6" t="n">
        <f aca="false">SUMIFS('A Chatbot'!H$3:H$24,'A Chatbot'!$D$3:$D$24,"&gt;="&amp;$B5,'A Chatbot'!$D$3:$D$24,"&lt;="&amp;$C5)-R5</f>
        <v>3</v>
      </c>
      <c r="I5" s="6" t="n">
        <f aca="false">SUMIFS('B Detalles'!H$3:H$15,'B Detalles'!$D$3:$D$15,"&gt;="&amp;$B5,'B Detalles'!$D$3:$D$15,"&lt;="&amp;$C5)</f>
        <v>5</v>
      </c>
      <c r="J5" s="6" t="n">
        <f aca="false">H5+I5</f>
        <v>8</v>
      </c>
      <c r="K5" s="6" t="str">
        <f aca="false">IF(J5&lt;=10,"Sí","NO: recortar")</f>
        <v>Sí</v>
      </c>
      <c r="L5" s="6" t="n">
        <f aca="false">SUMIFS('A Chatbot'!I$3:I$24,'A Chatbot'!$D$3:$D$24,"&gt;="&amp;$B5,'A Chatbot'!$D$3:$D$24,"&lt;="&amp;$C5)</f>
        <v>0</v>
      </c>
      <c r="M5" s="6" t="n">
        <f aca="false">SUMIFS('B Detalles'!I$3:I$15,'B Detalles'!$D$3:$D$15,"&gt;="&amp;$B5,'B Detalles'!$D$3:$D$15,"&lt;="&amp;$C5)</f>
        <v>35</v>
      </c>
      <c r="N5" s="6" t="n">
        <f aca="false">L5+M5</f>
        <v>35</v>
      </c>
      <c r="O5" s="6" t="n">
        <f aca="false">'A Chatbot'!G20</f>
        <v>6</v>
      </c>
      <c r="P5" s="6" t="n">
        <f aca="false">F5+O5</f>
        <v>10</v>
      </c>
      <c r="Q5" s="6" t="str">
        <f aca="false">IF(P5&lt;=20,"Sí","NO: recortar")</f>
        <v>Sí</v>
      </c>
      <c r="R5" s="6" t="n">
        <f aca="false">'A Chatbot'!H20</f>
        <v>1</v>
      </c>
      <c r="S5" s="6" t="n">
        <f aca="false">J5+R5</f>
        <v>9</v>
      </c>
      <c r="T5" s="6" t="str">
        <f aca="false">IF(S5&lt;=20,"Sí","NO: recortar")</f>
        <v>Sí</v>
      </c>
    </row>
    <row r="6" customFormat="false" ht="15" hidden="false" customHeight="false" outlineLevel="0" collapsed="false">
      <c r="A6" s="6" t="s">
        <v>49</v>
      </c>
      <c r="B6" s="7" t="n">
        <v>46342</v>
      </c>
      <c r="C6" s="7" t="n">
        <v>46348</v>
      </c>
      <c r="D6" s="6" t="n">
        <f aca="false">SUMIFS('A Chatbot'!G$3:G$24,'A Chatbot'!$D$3:$D$24,"&gt;="&amp;$B6,'A Chatbot'!$D$3:$D$24,"&lt;="&amp;$C6)-O6</f>
        <v>5.5</v>
      </c>
      <c r="E6" s="6" t="n">
        <f aca="false">SUMIFS('B Detalles'!G$3:G$15,'B Detalles'!$D$3:$D$15,"&gt;="&amp;$B6,'B Detalles'!$D$3:$D$15,"&lt;="&amp;$C6)</f>
        <v>2</v>
      </c>
      <c r="F6" s="6" t="n">
        <f aca="false">D6+E6</f>
        <v>7.5</v>
      </c>
      <c r="G6" s="6" t="str">
        <f aca="false">IF(F6&lt;=10,"Sí","NO: recortar")</f>
        <v>Sí</v>
      </c>
      <c r="H6" s="6" t="n">
        <f aca="false">SUMIFS('A Chatbot'!H$3:H$24,'A Chatbot'!$D$3:$D$24,"&gt;="&amp;$B6,'A Chatbot'!$D$3:$D$24,"&lt;="&amp;$C6)-R6</f>
        <v>1</v>
      </c>
      <c r="I6" s="6" t="n">
        <f aca="false">SUMIFS('B Detalles'!H$3:H$15,'B Detalles'!$D$3:$D$15,"&gt;="&amp;$B6,'B Detalles'!$D$3:$D$15,"&lt;="&amp;$C6)</f>
        <v>8</v>
      </c>
      <c r="J6" s="6" t="n">
        <f aca="false">H6+I6</f>
        <v>9</v>
      </c>
      <c r="K6" s="6" t="str">
        <f aca="false">IF(J6&lt;=10,"Sí","NO: recortar")</f>
        <v>Sí</v>
      </c>
      <c r="L6" s="6" t="n">
        <f aca="false">SUMIFS('A Chatbot'!I$3:I$24,'A Chatbot'!$D$3:$D$24,"&gt;="&amp;$B6,'A Chatbot'!$D$3:$D$24,"&lt;="&amp;$C6)</f>
        <v>15</v>
      </c>
      <c r="M6" s="6" t="n">
        <f aca="false">SUMIFS('B Detalles'!I$3:I$15,'B Detalles'!$D$3:$D$15,"&gt;="&amp;$B6,'B Detalles'!$D$3:$D$15,"&lt;="&amp;$C6)</f>
        <v>0</v>
      </c>
      <c r="N6" s="6" t="n">
        <f aca="false">L6+M6</f>
        <v>15</v>
      </c>
      <c r="O6" s="6" t="n">
        <f aca="false">0</f>
        <v>0</v>
      </c>
      <c r="P6" s="6" t="n">
        <f aca="false">F6+O6</f>
        <v>7.5</v>
      </c>
      <c r="Q6" s="6" t="str">
        <f aca="false">IF(P6&lt;=20,"Sí","NO: recortar")</f>
        <v>Sí</v>
      </c>
      <c r="R6" s="6" t="n">
        <f aca="false">0</f>
        <v>0</v>
      </c>
      <c r="S6" s="6" t="n">
        <f aca="false">J6+R6</f>
        <v>9</v>
      </c>
      <c r="T6" s="6" t="str">
        <f aca="false">IF(S6&lt;=20,"Sí","NO: recortar")</f>
        <v>Sí</v>
      </c>
    </row>
    <row r="7" customFormat="false" ht="15" hidden="false" customHeight="false" outlineLevel="0" collapsed="false">
      <c r="A7" s="2" t="s">
        <v>50</v>
      </c>
      <c r="D7" s="2" t="n">
        <f aca="false">SUM(D3:D6)</f>
        <v>23</v>
      </c>
      <c r="E7" s="2" t="n">
        <f aca="false">SUM(E3:E6)</f>
        <v>4.5</v>
      </c>
      <c r="F7" s="2" t="n">
        <f aca="false">SUM(F3:F6)</f>
        <v>27.5</v>
      </c>
      <c r="H7" s="2" t="n">
        <f aca="false">SUM(H3:H6)</f>
        <v>10</v>
      </c>
      <c r="I7" s="2" t="n">
        <f aca="false">SUM(I3:I6)</f>
        <v>20.5</v>
      </c>
      <c r="J7" s="2" t="n">
        <f aca="false">SUM(J3:J6)</f>
        <v>30.5</v>
      </c>
      <c r="L7" s="2" t="n">
        <f aca="false">SUM(L3:L6)</f>
        <v>60</v>
      </c>
      <c r="M7" s="2" t="n">
        <f aca="false">SUM(M3:M6)</f>
        <v>85</v>
      </c>
      <c r="N7" s="2" t="n">
        <f aca="false">SUM(N3:N6)</f>
        <v>145</v>
      </c>
      <c r="O7" s="2" t="n">
        <f aca="false">SUM(O3:O6)</f>
        <v>18</v>
      </c>
      <c r="P7" s="2" t="n">
        <f aca="false">SUM(P3:P6)</f>
        <v>45.5</v>
      </c>
      <c r="R7" s="2" t="n">
        <f aca="false">SUM(R3:R6)</f>
        <v>3.5</v>
      </c>
      <c r="S7" s="2" t="n">
        <f aca="false">SUM(S3:S6)</f>
        <v>34</v>
      </c>
    </row>
    <row r="9" customFormat="false" ht="15" hidden="false" customHeight="false" outlineLevel="0" collapsed="false">
      <c r="A9" s="4" t="s">
        <v>51</v>
      </c>
    </row>
    <row r="10" customFormat="false" ht="15" hidden="false" customHeight="false" outlineLevel="0" collapsed="false">
      <c r="A10" s="4" t="s">
        <v>52</v>
      </c>
    </row>
    <row r="11" customFormat="false" ht="15" hidden="false" customHeight="false" outlineLevel="0" collapsed="false">
      <c r="A11" s="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50"/>
    <col collapsed="false" customWidth="true" hidden="false" outlineLevel="0" max="12" min="12" style="0" width="14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" t="s">
        <v>54</v>
      </c>
    </row>
    <row r="2" customFormat="false" ht="35.05" hidden="false" customHeight="false" outlineLevel="0" collapsed="false">
      <c r="A2" s="5" t="s">
        <v>55</v>
      </c>
      <c r="B2" s="5" t="s">
        <v>56</v>
      </c>
      <c r="C2" s="5" t="s">
        <v>57</v>
      </c>
      <c r="D2" s="5" t="s">
        <v>27</v>
      </c>
      <c r="E2" s="5" t="s">
        <v>28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</row>
    <row r="3" customFormat="false" ht="45" hidden="false" customHeight="true" outlineLevel="0" collapsed="false">
      <c r="A3" s="8" t="s">
        <v>69</v>
      </c>
      <c r="B3" s="8" t="s">
        <v>70</v>
      </c>
      <c r="C3" s="8" t="s">
        <v>71</v>
      </c>
      <c r="D3" s="9" t="n">
        <v>46322</v>
      </c>
      <c r="E3" s="9" t="n">
        <v>46322</v>
      </c>
      <c r="F3" s="8" t="s">
        <v>72</v>
      </c>
      <c r="G3" s="8" t="n">
        <v>1</v>
      </c>
      <c r="H3" s="8" t="n">
        <v>0</v>
      </c>
      <c r="I3" s="8" t="n">
        <v>0</v>
      </c>
      <c r="J3" s="8" t="s">
        <v>73</v>
      </c>
      <c r="K3" s="8" t="s">
        <v>74</v>
      </c>
      <c r="L3" s="10" t="s">
        <v>75</v>
      </c>
      <c r="M3" s="10"/>
      <c r="N3" s="10"/>
      <c r="O3" s="10"/>
      <c r="P3" s="10"/>
    </row>
    <row r="4" customFormat="false" ht="60" hidden="false" customHeight="true" outlineLevel="0" collapsed="false">
      <c r="A4" s="8" t="s">
        <v>76</v>
      </c>
      <c r="B4" s="8" t="s">
        <v>77</v>
      </c>
      <c r="C4" s="8" t="s">
        <v>78</v>
      </c>
      <c r="D4" s="9" t="n">
        <v>46323</v>
      </c>
      <c r="E4" s="9" t="n">
        <v>46323</v>
      </c>
      <c r="F4" s="8" t="s">
        <v>72</v>
      </c>
      <c r="G4" s="8" t="n">
        <v>0.5</v>
      </c>
      <c r="H4" s="8" t="n">
        <v>0</v>
      </c>
      <c r="I4" s="8" t="n">
        <v>0</v>
      </c>
      <c r="J4" s="8" t="s">
        <v>73</v>
      </c>
      <c r="K4" s="8" t="s">
        <v>79</v>
      </c>
      <c r="L4" s="10" t="s">
        <v>75</v>
      </c>
      <c r="M4" s="10"/>
      <c r="N4" s="10"/>
      <c r="O4" s="10"/>
      <c r="P4" s="10"/>
    </row>
    <row r="5" customFormat="false" ht="90" hidden="false" customHeight="true" outlineLevel="0" collapsed="false">
      <c r="A5" s="8" t="s">
        <v>80</v>
      </c>
      <c r="B5" s="8" t="s">
        <v>77</v>
      </c>
      <c r="C5" s="8" t="s">
        <v>81</v>
      </c>
      <c r="D5" s="9" t="n">
        <v>46324</v>
      </c>
      <c r="E5" s="9" t="n">
        <v>46324</v>
      </c>
      <c r="F5" s="8" t="s">
        <v>72</v>
      </c>
      <c r="G5" s="8" t="n">
        <v>0.5</v>
      </c>
      <c r="H5" s="8" t="n">
        <v>0</v>
      </c>
      <c r="I5" s="8" t="n">
        <v>0</v>
      </c>
      <c r="J5" s="8" t="s">
        <v>73</v>
      </c>
      <c r="K5" s="8" t="s">
        <v>82</v>
      </c>
      <c r="L5" s="10" t="s">
        <v>75</v>
      </c>
      <c r="M5" s="10"/>
      <c r="N5" s="10"/>
      <c r="O5" s="10"/>
      <c r="P5" s="10"/>
    </row>
    <row r="6" customFormat="false" ht="75" hidden="false" customHeight="true" outlineLevel="0" collapsed="false">
      <c r="A6" s="8" t="s">
        <v>83</v>
      </c>
      <c r="B6" s="8" t="s">
        <v>84</v>
      </c>
      <c r="C6" s="8" t="s">
        <v>85</v>
      </c>
      <c r="D6" s="9" t="n">
        <v>46323</v>
      </c>
      <c r="E6" s="9" t="n">
        <v>46323</v>
      </c>
      <c r="F6" s="8" t="s">
        <v>86</v>
      </c>
      <c r="G6" s="8" t="n">
        <v>1</v>
      </c>
      <c r="H6" s="8" t="n">
        <v>1</v>
      </c>
      <c r="I6" s="8" t="n">
        <v>0</v>
      </c>
      <c r="J6" s="8" t="s">
        <v>73</v>
      </c>
      <c r="K6" s="8" t="s">
        <v>87</v>
      </c>
      <c r="L6" s="10" t="s">
        <v>75</v>
      </c>
      <c r="M6" s="10"/>
      <c r="N6" s="10"/>
      <c r="O6" s="10"/>
      <c r="P6" s="10"/>
    </row>
    <row r="7" customFormat="false" ht="45" hidden="false" customHeight="true" outlineLevel="0" collapsed="false">
      <c r="A7" s="8" t="s">
        <v>88</v>
      </c>
      <c r="B7" s="8" t="s">
        <v>89</v>
      </c>
      <c r="C7" s="8" t="s">
        <v>90</v>
      </c>
      <c r="D7" s="9" t="n">
        <v>46324</v>
      </c>
      <c r="E7" s="9" t="n">
        <v>46327</v>
      </c>
      <c r="F7" s="8" t="s">
        <v>72</v>
      </c>
      <c r="G7" s="8" t="n">
        <v>1.5</v>
      </c>
      <c r="H7" s="8" t="n">
        <v>0</v>
      </c>
      <c r="I7" s="8" t="n">
        <v>0</v>
      </c>
      <c r="J7" s="8" t="s">
        <v>73</v>
      </c>
      <c r="K7" s="8" t="s">
        <v>91</v>
      </c>
      <c r="L7" s="10" t="s">
        <v>75</v>
      </c>
      <c r="M7" s="10"/>
      <c r="N7" s="10"/>
      <c r="O7" s="10"/>
      <c r="P7" s="10"/>
    </row>
    <row r="8" customFormat="false" ht="15" hidden="false" customHeight="true" outlineLevel="0" collapsed="false">
      <c r="A8" s="8" t="s">
        <v>92</v>
      </c>
      <c r="B8" s="8" t="s">
        <v>89</v>
      </c>
      <c r="C8" s="8" t="s">
        <v>93</v>
      </c>
      <c r="D8" s="9" t="n">
        <v>46324</v>
      </c>
      <c r="E8" s="9" t="n">
        <v>46327</v>
      </c>
      <c r="F8" s="8" t="s">
        <v>94</v>
      </c>
      <c r="G8" s="8" t="n">
        <v>1.5</v>
      </c>
      <c r="H8" s="8" t="n">
        <v>0</v>
      </c>
      <c r="I8" s="8" t="n">
        <v>0</v>
      </c>
      <c r="J8" s="8" t="s">
        <v>73</v>
      </c>
      <c r="K8" s="8" t="s">
        <v>95</v>
      </c>
      <c r="L8" s="10" t="s">
        <v>75</v>
      </c>
      <c r="M8" s="10"/>
      <c r="N8" s="10"/>
      <c r="O8" s="10"/>
      <c r="P8" s="10"/>
    </row>
    <row r="9" customFormat="false" ht="45" hidden="false" customHeight="true" outlineLevel="0" collapsed="false">
      <c r="A9" s="8" t="s">
        <v>96</v>
      </c>
      <c r="B9" s="8" t="s">
        <v>89</v>
      </c>
      <c r="C9" s="8" t="s">
        <v>97</v>
      </c>
      <c r="D9" s="9" t="n">
        <v>46325</v>
      </c>
      <c r="E9" s="9" t="n">
        <v>46330</v>
      </c>
      <c r="F9" s="8" t="s">
        <v>94</v>
      </c>
      <c r="G9" s="8" t="n">
        <v>0</v>
      </c>
      <c r="H9" s="8" t="n">
        <v>1</v>
      </c>
      <c r="I9" s="8" t="n">
        <v>0</v>
      </c>
      <c r="J9" s="8" t="s">
        <v>73</v>
      </c>
      <c r="K9" s="8" t="s">
        <v>98</v>
      </c>
      <c r="L9" s="10" t="s">
        <v>75</v>
      </c>
      <c r="M9" s="10"/>
      <c r="N9" s="10"/>
      <c r="O9" s="10"/>
      <c r="P9" s="10"/>
    </row>
    <row r="10" customFormat="false" ht="45" hidden="false" customHeight="true" outlineLevel="0" collapsed="false">
      <c r="A10" s="8" t="s">
        <v>99</v>
      </c>
      <c r="B10" s="8" t="s">
        <v>89</v>
      </c>
      <c r="C10" s="8" t="s">
        <v>100</v>
      </c>
      <c r="D10" s="9" t="n">
        <v>46328</v>
      </c>
      <c r="E10" s="9" t="n">
        <v>46331</v>
      </c>
      <c r="F10" s="8" t="s">
        <v>72</v>
      </c>
      <c r="G10" s="8" t="n">
        <v>1</v>
      </c>
      <c r="H10" s="8" t="n">
        <v>0</v>
      </c>
      <c r="I10" s="8" t="n">
        <v>0</v>
      </c>
      <c r="J10" s="8" t="s">
        <v>73</v>
      </c>
      <c r="K10" s="8" t="s">
        <v>101</v>
      </c>
      <c r="L10" s="10" t="s">
        <v>75</v>
      </c>
      <c r="M10" s="10"/>
      <c r="N10" s="10"/>
      <c r="O10" s="10"/>
      <c r="P10" s="10"/>
    </row>
    <row r="11" customFormat="false" ht="45" hidden="false" customHeight="true" outlineLevel="0" collapsed="false">
      <c r="A11" s="8" t="s">
        <v>102</v>
      </c>
      <c r="B11" s="8" t="s">
        <v>89</v>
      </c>
      <c r="C11" s="8" t="s">
        <v>103</v>
      </c>
      <c r="D11" s="9" t="n">
        <v>46329</v>
      </c>
      <c r="E11" s="9" t="n">
        <v>46333</v>
      </c>
      <c r="F11" s="8" t="s">
        <v>72</v>
      </c>
      <c r="G11" s="8" t="n">
        <v>1.5</v>
      </c>
      <c r="H11" s="8" t="n">
        <v>0</v>
      </c>
      <c r="I11" s="8" t="n">
        <v>15</v>
      </c>
      <c r="J11" s="8" t="s">
        <v>72</v>
      </c>
      <c r="K11" s="8" t="s">
        <v>95</v>
      </c>
      <c r="L11" s="10" t="s">
        <v>75</v>
      </c>
      <c r="M11" s="10"/>
      <c r="N11" s="10"/>
      <c r="O11" s="10"/>
      <c r="P11" s="10"/>
    </row>
    <row r="12" customFormat="false" ht="15" hidden="false" customHeight="true" outlineLevel="0" collapsed="false">
      <c r="A12" s="8" t="s">
        <v>104</v>
      </c>
      <c r="B12" s="8" t="s">
        <v>89</v>
      </c>
      <c r="C12" s="8" t="s">
        <v>105</v>
      </c>
      <c r="D12" s="9" t="n">
        <v>46329</v>
      </c>
      <c r="E12" s="9" t="n">
        <v>46333</v>
      </c>
      <c r="F12" s="8" t="s">
        <v>94</v>
      </c>
      <c r="G12" s="8" t="n">
        <v>0</v>
      </c>
      <c r="H12" s="8" t="n">
        <v>1.5</v>
      </c>
      <c r="I12" s="8" t="n">
        <v>15</v>
      </c>
      <c r="J12" s="8" t="s">
        <v>72</v>
      </c>
      <c r="K12" s="8" t="s">
        <v>95</v>
      </c>
      <c r="L12" s="10" t="s">
        <v>75</v>
      </c>
      <c r="M12" s="10"/>
      <c r="N12" s="10"/>
      <c r="O12" s="10"/>
      <c r="P12" s="10"/>
    </row>
    <row r="13" customFormat="false" ht="105" hidden="false" customHeight="true" outlineLevel="0" collapsed="false">
      <c r="A13" s="8" t="s">
        <v>106</v>
      </c>
      <c r="B13" s="8" t="s">
        <v>89</v>
      </c>
      <c r="C13" s="8" t="s">
        <v>107</v>
      </c>
      <c r="D13" s="9" t="n">
        <v>46334</v>
      </c>
      <c r="E13" s="9" t="n">
        <v>46334</v>
      </c>
      <c r="F13" s="8" t="s">
        <v>94</v>
      </c>
      <c r="G13" s="8" t="n">
        <v>0</v>
      </c>
      <c r="H13" s="8" t="n">
        <v>1</v>
      </c>
      <c r="I13" s="8" t="n">
        <v>0</v>
      </c>
      <c r="J13" s="8" t="s">
        <v>73</v>
      </c>
      <c r="K13" s="8" t="s">
        <v>108</v>
      </c>
      <c r="L13" s="10" t="s">
        <v>75</v>
      </c>
      <c r="M13" s="10"/>
      <c r="N13" s="10"/>
      <c r="O13" s="10"/>
      <c r="P13" s="10"/>
    </row>
    <row r="14" customFormat="false" ht="60" hidden="false" customHeight="true" outlineLevel="0" collapsed="false">
      <c r="A14" s="8" t="s">
        <v>109</v>
      </c>
      <c r="B14" s="8" t="s">
        <v>110</v>
      </c>
      <c r="C14" s="8" t="s">
        <v>111</v>
      </c>
      <c r="D14" s="9" t="n">
        <v>46330</v>
      </c>
      <c r="E14" s="9" t="n">
        <v>46330</v>
      </c>
      <c r="F14" s="8" t="s">
        <v>94</v>
      </c>
      <c r="G14" s="8" t="n">
        <v>0</v>
      </c>
      <c r="H14" s="8" t="n">
        <v>1.5</v>
      </c>
      <c r="I14" s="8" t="n">
        <v>0</v>
      </c>
      <c r="J14" s="8" t="s">
        <v>73</v>
      </c>
      <c r="K14" s="8" t="s">
        <v>112</v>
      </c>
      <c r="L14" s="10" t="s">
        <v>75</v>
      </c>
      <c r="M14" s="10"/>
      <c r="N14" s="10"/>
      <c r="O14" s="10"/>
      <c r="P14" s="10"/>
    </row>
    <row r="15" customFormat="false" ht="105" hidden="false" customHeight="true" outlineLevel="0" collapsed="false">
      <c r="A15" s="8" t="s">
        <v>113</v>
      </c>
      <c r="B15" s="8" t="s">
        <v>114</v>
      </c>
      <c r="C15" s="8" t="s">
        <v>115</v>
      </c>
      <c r="D15" s="9" t="n">
        <v>46329</v>
      </c>
      <c r="E15" s="9" t="n">
        <v>46334</v>
      </c>
      <c r="F15" s="8" t="s">
        <v>72</v>
      </c>
      <c r="G15" s="8" t="n">
        <v>6</v>
      </c>
      <c r="H15" s="8" t="n">
        <v>0</v>
      </c>
      <c r="I15" s="8" t="n">
        <v>0</v>
      </c>
      <c r="J15" s="8" t="s">
        <v>73</v>
      </c>
      <c r="K15" s="8" t="s">
        <v>116</v>
      </c>
      <c r="L15" s="10" t="s">
        <v>75</v>
      </c>
      <c r="M15" s="10"/>
      <c r="N15" s="10"/>
      <c r="O15" s="10"/>
      <c r="P15" s="10"/>
    </row>
    <row r="16" customFormat="false" ht="60" hidden="false" customHeight="true" outlineLevel="0" collapsed="false">
      <c r="A16" s="8" t="s">
        <v>117</v>
      </c>
      <c r="B16" s="8" t="s">
        <v>114</v>
      </c>
      <c r="C16" s="8" t="s">
        <v>118</v>
      </c>
      <c r="D16" s="9" t="n">
        <v>46335</v>
      </c>
      <c r="E16" s="9" t="n">
        <v>46340</v>
      </c>
      <c r="F16" s="8" t="s">
        <v>86</v>
      </c>
      <c r="G16" s="8" t="n">
        <v>2</v>
      </c>
      <c r="H16" s="8" t="n">
        <v>2</v>
      </c>
      <c r="I16" s="8" t="n">
        <v>0</v>
      </c>
      <c r="J16" s="8" t="s">
        <v>73</v>
      </c>
      <c r="K16" s="8" t="s">
        <v>119</v>
      </c>
      <c r="L16" s="10" t="s">
        <v>75</v>
      </c>
      <c r="M16" s="10"/>
      <c r="N16" s="10"/>
      <c r="O16" s="10"/>
      <c r="P16" s="10"/>
    </row>
    <row r="17" customFormat="false" ht="150" hidden="false" customHeight="true" outlineLevel="0" collapsed="false">
      <c r="A17" s="8" t="s">
        <v>120</v>
      </c>
      <c r="B17" s="8" t="s">
        <v>114</v>
      </c>
      <c r="C17" s="8" t="s">
        <v>121</v>
      </c>
      <c r="D17" s="9" t="n">
        <v>46335</v>
      </c>
      <c r="E17" s="9" t="n">
        <v>46341</v>
      </c>
      <c r="F17" s="8" t="s">
        <v>86</v>
      </c>
      <c r="G17" s="8" t="n">
        <v>1</v>
      </c>
      <c r="H17" s="8" t="n">
        <v>1</v>
      </c>
      <c r="I17" s="8" t="n">
        <v>0</v>
      </c>
      <c r="J17" s="8" t="s">
        <v>73</v>
      </c>
      <c r="K17" s="8" t="s">
        <v>122</v>
      </c>
      <c r="L17" s="10" t="s">
        <v>75</v>
      </c>
      <c r="M17" s="10"/>
      <c r="N17" s="10"/>
      <c r="O17" s="10"/>
      <c r="P17" s="10"/>
    </row>
    <row r="18" customFormat="false" ht="150" hidden="false" customHeight="true" outlineLevel="0" collapsed="false">
      <c r="A18" s="8" t="s">
        <v>123</v>
      </c>
      <c r="B18" s="8" t="s">
        <v>124</v>
      </c>
      <c r="C18" s="8" t="s">
        <v>125</v>
      </c>
      <c r="D18" s="9" t="n">
        <v>46322</v>
      </c>
      <c r="E18" s="9" t="n">
        <v>46326</v>
      </c>
      <c r="F18" s="8" t="s">
        <v>72</v>
      </c>
      <c r="G18" s="8" t="n">
        <v>4</v>
      </c>
      <c r="H18" s="8" t="n">
        <v>1</v>
      </c>
      <c r="I18" s="8" t="n">
        <v>15</v>
      </c>
      <c r="J18" s="8" t="s">
        <v>72</v>
      </c>
      <c r="K18" s="8" t="s">
        <v>126</v>
      </c>
      <c r="L18" s="10" t="s">
        <v>75</v>
      </c>
      <c r="M18" s="10"/>
      <c r="N18" s="10"/>
      <c r="O18" s="10"/>
      <c r="P18" s="10"/>
    </row>
    <row r="19" customFormat="false" ht="75" hidden="false" customHeight="true" outlineLevel="0" collapsed="false">
      <c r="A19" s="8" t="s">
        <v>127</v>
      </c>
      <c r="B19" s="8" t="s">
        <v>128</v>
      </c>
      <c r="C19" s="8" t="s">
        <v>129</v>
      </c>
      <c r="D19" s="9" t="n">
        <v>46328</v>
      </c>
      <c r="E19" s="9" t="n">
        <v>46334</v>
      </c>
      <c r="F19" s="8" t="s">
        <v>86</v>
      </c>
      <c r="G19" s="8" t="n">
        <v>8</v>
      </c>
      <c r="H19" s="8" t="n">
        <v>1.5</v>
      </c>
      <c r="I19" s="8" t="n">
        <v>0</v>
      </c>
      <c r="J19" s="8" t="s">
        <v>73</v>
      </c>
      <c r="K19" s="8" t="s">
        <v>130</v>
      </c>
      <c r="L19" s="10" t="s">
        <v>75</v>
      </c>
      <c r="M19" s="10"/>
      <c r="N19" s="10"/>
      <c r="O19" s="10"/>
      <c r="P19" s="10"/>
    </row>
    <row r="20" customFormat="false" ht="120" hidden="false" customHeight="true" outlineLevel="0" collapsed="false">
      <c r="A20" s="8" t="s">
        <v>131</v>
      </c>
      <c r="B20" s="8" t="s">
        <v>128</v>
      </c>
      <c r="C20" s="8" t="s">
        <v>132</v>
      </c>
      <c r="D20" s="9" t="n">
        <v>46335</v>
      </c>
      <c r="E20" s="9" t="n">
        <v>46341</v>
      </c>
      <c r="F20" s="8" t="s">
        <v>86</v>
      </c>
      <c r="G20" s="8" t="n">
        <v>6</v>
      </c>
      <c r="H20" s="8" t="n">
        <v>1</v>
      </c>
      <c r="I20" s="8" t="n">
        <v>0</v>
      </c>
      <c r="J20" s="8" t="s">
        <v>73</v>
      </c>
      <c r="K20" s="8" t="s">
        <v>133</v>
      </c>
      <c r="L20" s="10" t="s">
        <v>75</v>
      </c>
      <c r="M20" s="10"/>
      <c r="N20" s="10"/>
      <c r="O20" s="10"/>
      <c r="P20" s="10"/>
    </row>
    <row r="21" customFormat="false" ht="30" hidden="false" customHeight="true" outlineLevel="0" collapsed="false">
      <c r="A21" s="8" t="s">
        <v>134</v>
      </c>
      <c r="B21" s="8" t="s">
        <v>135</v>
      </c>
      <c r="C21" s="8" t="s">
        <v>136</v>
      </c>
      <c r="D21" s="9" t="n">
        <v>46342</v>
      </c>
      <c r="E21" s="9" t="n">
        <v>46343</v>
      </c>
      <c r="F21" s="8" t="s">
        <v>72</v>
      </c>
      <c r="G21" s="8" t="n">
        <v>0.5</v>
      </c>
      <c r="H21" s="8" t="n">
        <v>0</v>
      </c>
      <c r="I21" s="8" t="n">
        <v>15</v>
      </c>
      <c r="J21" s="8" t="s">
        <v>137</v>
      </c>
      <c r="K21" s="8" t="s">
        <v>138</v>
      </c>
      <c r="L21" s="10" t="s">
        <v>75</v>
      </c>
      <c r="M21" s="10"/>
      <c r="N21" s="10"/>
      <c r="O21" s="10"/>
      <c r="P21" s="10"/>
    </row>
    <row r="22" customFormat="false" ht="45" hidden="false" customHeight="true" outlineLevel="0" collapsed="false">
      <c r="A22" s="8" t="s">
        <v>139</v>
      </c>
      <c r="B22" s="8" t="s">
        <v>140</v>
      </c>
      <c r="C22" s="8" t="s">
        <v>141</v>
      </c>
      <c r="D22" s="9" t="n">
        <v>46342</v>
      </c>
      <c r="E22" s="9" t="n">
        <v>46346</v>
      </c>
      <c r="F22" s="8" t="s">
        <v>94</v>
      </c>
      <c r="G22" s="8" t="n">
        <v>0</v>
      </c>
      <c r="H22" s="8" t="n">
        <v>1</v>
      </c>
      <c r="I22" s="8" t="n">
        <v>0</v>
      </c>
      <c r="J22" s="8" t="s">
        <v>73</v>
      </c>
      <c r="K22" s="8" t="s">
        <v>142</v>
      </c>
      <c r="L22" s="10" t="s">
        <v>75</v>
      </c>
      <c r="M22" s="10"/>
      <c r="N22" s="10"/>
      <c r="O22" s="10"/>
      <c r="P22" s="10"/>
    </row>
    <row r="23" customFormat="false" ht="75" hidden="false" customHeight="true" outlineLevel="0" collapsed="false">
      <c r="A23" s="8" t="s">
        <v>143</v>
      </c>
      <c r="B23" s="8" t="s">
        <v>140</v>
      </c>
      <c r="C23" s="8" t="s">
        <v>144</v>
      </c>
      <c r="D23" s="9" t="n">
        <v>46342</v>
      </c>
      <c r="E23" s="9" t="n">
        <v>46362</v>
      </c>
      <c r="F23" s="8" t="s">
        <v>72</v>
      </c>
      <c r="G23" s="8" t="n">
        <v>4</v>
      </c>
      <c r="H23" s="8" t="n">
        <v>0</v>
      </c>
      <c r="I23" s="8" t="n">
        <v>0</v>
      </c>
      <c r="J23" s="8" t="s">
        <v>73</v>
      </c>
      <c r="K23" s="8" t="s">
        <v>145</v>
      </c>
      <c r="L23" s="10" t="s">
        <v>75</v>
      </c>
      <c r="M23" s="10"/>
      <c r="N23" s="10"/>
      <c r="O23" s="10"/>
      <c r="P23" s="10"/>
    </row>
    <row r="24" customFormat="false" ht="45" hidden="false" customHeight="true" outlineLevel="0" collapsed="false">
      <c r="A24" s="8" t="s">
        <v>146</v>
      </c>
      <c r="B24" s="8" t="s">
        <v>147</v>
      </c>
      <c r="C24" s="8" t="s">
        <v>148</v>
      </c>
      <c r="D24" s="9" t="n">
        <v>46346</v>
      </c>
      <c r="E24" s="9" t="n">
        <v>46346</v>
      </c>
      <c r="F24" s="8" t="s">
        <v>86</v>
      </c>
      <c r="G24" s="8" t="n">
        <v>1</v>
      </c>
      <c r="H24" s="8" t="n">
        <v>0</v>
      </c>
      <c r="I24" s="8" t="n">
        <v>0</v>
      </c>
      <c r="J24" s="8" t="s">
        <v>73</v>
      </c>
      <c r="K24" s="8" t="s">
        <v>149</v>
      </c>
      <c r="L24" s="10" t="s">
        <v>75</v>
      </c>
      <c r="M24" s="10"/>
      <c r="N24" s="10"/>
      <c r="O24" s="10"/>
      <c r="P24" s="10"/>
    </row>
    <row r="25" customFormat="false" ht="15" hidden="false" customHeight="false" outlineLevel="0" collapsed="false">
      <c r="C25" s="2" t="s">
        <v>50</v>
      </c>
      <c r="G25" s="2" t="n">
        <f aca="false">SUM(G3:G24)</f>
        <v>41</v>
      </c>
      <c r="H25" s="2" t="n">
        <f aca="false">SUM(H3:H24)</f>
        <v>13.5</v>
      </c>
      <c r="I25" s="2" t="n">
        <f aca="false">SUM(I3:I24)</f>
        <v>60</v>
      </c>
      <c r="M25" s="2" t="n">
        <f aca="false">SUM(M3:M24)</f>
        <v>0</v>
      </c>
      <c r="N25" s="2" t="n">
        <f aca="false">SUM(N3:N24)</f>
        <v>0</v>
      </c>
      <c r="O25" s="2" t="n">
        <f aca="false">SUM(O3:O24)</f>
        <v>0</v>
      </c>
    </row>
  </sheetData>
  <dataValidations count="1">
    <dataValidation allowBlank="true" errorStyle="stop" operator="between" showDropDown="false" showErrorMessage="false" showInputMessage="false" sqref="L3:L24" type="list">
      <formula1>"Pendiente,En curso,Hecho,Pasó,Repetir con cambio,No pasó,No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50"/>
    <col collapsed="false" customWidth="true" hidden="false" outlineLevel="0" max="12" min="12" style="0" width="14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" t="s">
        <v>150</v>
      </c>
    </row>
    <row r="2" customFormat="false" ht="35.05" hidden="false" customHeight="false" outlineLevel="0" collapsed="false">
      <c r="A2" s="5" t="s">
        <v>55</v>
      </c>
      <c r="B2" s="5" t="s">
        <v>56</v>
      </c>
      <c r="C2" s="5" t="s">
        <v>57</v>
      </c>
      <c r="D2" s="5" t="s">
        <v>27</v>
      </c>
      <c r="E2" s="5" t="s">
        <v>28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</row>
    <row r="3" customFormat="false" ht="75" hidden="false" customHeight="true" outlineLevel="0" collapsed="false">
      <c r="A3" s="11" t="s">
        <v>151</v>
      </c>
      <c r="B3" s="11" t="s">
        <v>152</v>
      </c>
      <c r="C3" s="11" t="s">
        <v>153</v>
      </c>
      <c r="D3" s="12" t="n">
        <v>46323</v>
      </c>
      <c r="E3" s="12" t="n">
        <v>46323</v>
      </c>
      <c r="F3" s="11" t="s">
        <v>72</v>
      </c>
      <c r="G3" s="11" t="n">
        <v>1</v>
      </c>
      <c r="H3" s="11" t="n">
        <v>0</v>
      </c>
      <c r="I3" s="11" t="n">
        <v>0</v>
      </c>
      <c r="J3" s="11" t="s">
        <v>73</v>
      </c>
      <c r="K3" s="11" t="s">
        <v>154</v>
      </c>
      <c r="L3" s="10" t="s">
        <v>75</v>
      </c>
      <c r="M3" s="10"/>
      <c r="N3" s="10"/>
      <c r="O3" s="10"/>
      <c r="P3" s="10"/>
    </row>
    <row r="4" customFormat="false" ht="75" hidden="false" customHeight="true" outlineLevel="0" collapsed="false">
      <c r="A4" s="11" t="s">
        <v>155</v>
      </c>
      <c r="B4" s="11" t="s">
        <v>156</v>
      </c>
      <c r="C4" s="11" t="s">
        <v>157</v>
      </c>
      <c r="D4" s="12" t="n">
        <v>46325</v>
      </c>
      <c r="E4" s="12" t="n">
        <v>46325</v>
      </c>
      <c r="F4" s="11" t="s">
        <v>72</v>
      </c>
      <c r="G4" s="11" t="n">
        <v>0</v>
      </c>
      <c r="H4" s="11" t="n">
        <v>0</v>
      </c>
      <c r="I4" s="11" t="n">
        <v>0</v>
      </c>
      <c r="J4" s="11" t="s">
        <v>73</v>
      </c>
      <c r="K4" s="11" t="s">
        <v>158</v>
      </c>
      <c r="L4" s="10" t="s">
        <v>75</v>
      </c>
      <c r="M4" s="10"/>
      <c r="N4" s="10"/>
      <c r="O4" s="10"/>
      <c r="P4" s="10"/>
    </row>
    <row r="5" customFormat="false" ht="75" hidden="false" customHeight="true" outlineLevel="0" collapsed="false">
      <c r="A5" s="11" t="s">
        <v>159</v>
      </c>
      <c r="B5" s="11" t="s">
        <v>156</v>
      </c>
      <c r="C5" s="11" t="s">
        <v>160</v>
      </c>
      <c r="D5" s="12" t="n">
        <v>46326</v>
      </c>
      <c r="E5" s="12" t="n">
        <v>46326</v>
      </c>
      <c r="F5" s="11" t="s">
        <v>94</v>
      </c>
      <c r="G5" s="11" t="n">
        <v>0</v>
      </c>
      <c r="H5" s="11" t="n">
        <v>2</v>
      </c>
      <c r="I5" s="11" t="n">
        <v>50</v>
      </c>
      <c r="J5" s="11" t="s">
        <v>94</v>
      </c>
      <c r="K5" s="11" t="s">
        <v>161</v>
      </c>
      <c r="L5" s="10" t="s">
        <v>75</v>
      </c>
      <c r="M5" s="10"/>
      <c r="N5" s="10"/>
      <c r="O5" s="10"/>
      <c r="P5" s="10"/>
    </row>
    <row r="6" customFormat="false" ht="30" hidden="false" customHeight="true" outlineLevel="0" collapsed="false">
      <c r="A6" s="11" t="s">
        <v>162</v>
      </c>
      <c r="B6" s="11" t="s">
        <v>156</v>
      </c>
      <c r="C6" s="11" t="s">
        <v>163</v>
      </c>
      <c r="D6" s="12" t="n">
        <v>46326</v>
      </c>
      <c r="E6" s="12" t="n">
        <v>46326</v>
      </c>
      <c r="F6" s="11" t="s">
        <v>94</v>
      </c>
      <c r="G6" s="11" t="n">
        <v>0</v>
      </c>
      <c r="H6" s="11" t="n">
        <v>1.5</v>
      </c>
      <c r="I6" s="11" t="n">
        <v>0</v>
      </c>
      <c r="J6" s="11" t="s">
        <v>73</v>
      </c>
      <c r="K6" s="11" t="s">
        <v>164</v>
      </c>
      <c r="L6" s="10" t="s">
        <v>75</v>
      </c>
      <c r="M6" s="10"/>
      <c r="N6" s="10"/>
      <c r="O6" s="10"/>
      <c r="P6" s="10"/>
    </row>
    <row r="7" customFormat="false" ht="120" hidden="false" customHeight="true" outlineLevel="0" collapsed="false">
      <c r="A7" s="11" t="s">
        <v>165</v>
      </c>
      <c r="B7" s="11" t="s">
        <v>156</v>
      </c>
      <c r="C7" s="11" t="s">
        <v>166</v>
      </c>
      <c r="D7" s="12" t="n">
        <v>46327</v>
      </c>
      <c r="E7" s="12" t="n">
        <v>46327</v>
      </c>
      <c r="F7" s="11" t="s">
        <v>94</v>
      </c>
      <c r="G7" s="11" t="n">
        <v>0</v>
      </c>
      <c r="H7" s="11" t="n">
        <v>0.5</v>
      </c>
      <c r="I7" s="11" t="n">
        <v>0</v>
      </c>
      <c r="J7" s="11" t="s">
        <v>73</v>
      </c>
      <c r="K7" s="11" t="s">
        <v>167</v>
      </c>
      <c r="L7" s="10" t="s">
        <v>75</v>
      </c>
      <c r="M7" s="10"/>
      <c r="N7" s="10"/>
      <c r="O7" s="10"/>
      <c r="P7" s="10"/>
    </row>
    <row r="8" customFormat="false" ht="90" hidden="false" customHeight="true" outlineLevel="0" collapsed="false">
      <c r="A8" s="11" t="s">
        <v>168</v>
      </c>
      <c r="B8" s="11" t="s">
        <v>169</v>
      </c>
      <c r="C8" s="11" t="s">
        <v>170</v>
      </c>
      <c r="D8" s="12" t="n">
        <v>46328</v>
      </c>
      <c r="E8" s="12" t="n">
        <v>46328</v>
      </c>
      <c r="F8" s="11" t="s">
        <v>86</v>
      </c>
      <c r="G8" s="11" t="n">
        <v>0.5</v>
      </c>
      <c r="H8" s="11" t="n">
        <v>1</v>
      </c>
      <c r="I8" s="11" t="n">
        <v>0</v>
      </c>
      <c r="J8" s="11" t="s">
        <v>73</v>
      </c>
      <c r="K8" s="11" t="s">
        <v>171</v>
      </c>
      <c r="L8" s="10" t="s">
        <v>75</v>
      </c>
      <c r="M8" s="10"/>
      <c r="N8" s="10"/>
      <c r="O8" s="10"/>
      <c r="P8" s="10"/>
    </row>
    <row r="9" customFormat="false" ht="60" hidden="false" customHeight="true" outlineLevel="0" collapsed="false">
      <c r="A9" s="11" t="s">
        <v>172</v>
      </c>
      <c r="B9" s="11" t="s">
        <v>173</v>
      </c>
      <c r="C9" s="11" t="s">
        <v>174</v>
      </c>
      <c r="D9" s="12" t="n">
        <v>46328</v>
      </c>
      <c r="E9" s="12" t="n">
        <v>46334</v>
      </c>
      <c r="F9" s="11" t="s">
        <v>94</v>
      </c>
      <c r="G9" s="11" t="n">
        <v>0</v>
      </c>
      <c r="H9" s="11" t="n">
        <v>2.5</v>
      </c>
      <c r="I9" s="11" t="n">
        <v>0</v>
      </c>
      <c r="J9" s="11" t="s">
        <v>73</v>
      </c>
      <c r="K9" s="11" t="s">
        <v>175</v>
      </c>
      <c r="L9" s="10" t="s">
        <v>75</v>
      </c>
      <c r="M9" s="10"/>
      <c r="N9" s="10"/>
      <c r="O9" s="10"/>
      <c r="P9" s="10"/>
    </row>
    <row r="10" customFormat="false" ht="120" hidden="false" customHeight="true" outlineLevel="0" collapsed="false">
      <c r="A10" s="11" t="s">
        <v>176</v>
      </c>
      <c r="B10" s="11" t="s">
        <v>173</v>
      </c>
      <c r="C10" s="11" t="s">
        <v>177</v>
      </c>
      <c r="D10" s="12" t="n">
        <v>46335</v>
      </c>
      <c r="E10" s="12" t="n">
        <v>46341</v>
      </c>
      <c r="F10" s="11" t="s">
        <v>86</v>
      </c>
      <c r="G10" s="11" t="n">
        <v>0.5</v>
      </c>
      <c r="H10" s="11" t="n">
        <v>3</v>
      </c>
      <c r="I10" s="11" t="n">
        <v>0</v>
      </c>
      <c r="J10" s="11" t="s">
        <v>73</v>
      </c>
      <c r="K10" s="11" t="s">
        <v>178</v>
      </c>
      <c r="L10" s="10" t="s">
        <v>75</v>
      </c>
      <c r="M10" s="10"/>
      <c r="N10" s="10"/>
      <c r="O10" s="10"/>
      <c r="P10" s="10"/>
    </row>
    <row r="11" customFormat="false" ht="60" hidden="false" customHeight="true" outlineLevel="0" collapsed="false">
      <c r="A11" s="11" t="s">
        <v>179</v>
      </c>
      <c r="B11" s="11" t="s">
        <v>180</v>
      </c>
      <c r="C11" s="11" t="s">
        <v>181</v>
      </c>
      <c r="D11" s="12" t="n">
        <v>46337</v>
      </c>
      <c r="E11" s="12" t="n">
        <v>46337</v>
      </c>
      <c r="F11" s="11" t="s">
        <v>94</v>
      </c>
      <c r="G11" s="11" t="n">
        <v>0</v>
      </c>
      <c r="H11" s="11" t="n">
        <v>1</v>
      </c>
      <c r="I11" s="11" t="n">
        <v>35</v>
      </c>
      <c r="J11" s="11" t="s">
        <v>94</v>
      </c>
      <c r="K11" s="11" t="s">
        <v>182</v>
      </c>
      <c r="L11" s="10" t="s">
        <v>75</v>
      </c>
      <c r="M11" s="10"/>
      <c r="N11" s="10"/>
      <c r="O11" s="10"/>
      <c r="P11" s="10"/>
    </row>
    <row r="12" customFormat="false" ht="90" hidden="false" customHeight="true" outlineLevel="0" collapsed="false">
      <c r="A12" s="11" t="s">
        <v>183</v>
      </c>
      <c r="B12" s="11" t="s">
        <v>184</v>
      </c>
      <c r="C12" s="11" t="s">
        <v>185</v>
      </c>
      <c r="D12" s="12" t="n">
        <v>46338</v>
      </c>
      <c r="E12" s="12" t="n">
        <v>46341</v>
      </c>
      <c r="F12" s="11" t="s">
        <v>86</v>
      </c>
      <c r="G12" s="11" t="n">
        <v>0.5</v>
      </c>
      <c r="H12" s="11" t="n">
        <v>1</v>
      </c>
      <c r="I12" s="11" t="n">
        <v>0</v>
      </c>
      <c r="J12" s="11" t="s">
        <v>73</v>
      </c>
      <c r="K12" s="11" t="s">
        <v>186</v>
      </c>
      <c r="L12" s="10" t="s">
        <v>75</v>
      </c>
      <c r="M12" s="10"/>
      <c r="N12" s="10"/>
      <c r="O12" s="10"/>
      <c r="P12" s="10"/>
    </row>
    <row r="13" customFormat="false" ht="30" hidden="false" customHeight="true" outlineLevel="0" collapsed="false">
      <c r="A13" s="11" t="s">
        <v>187</v>
      </c>
      <c r="B13" s="11" t="s">
        <v>188</v>
      </c>
      <c r="C13" s="11" t="s">
        <v>189</v>
      </c>
      <c r="D13" s="12" t="n">
        <v>46342</v>
      </c>
      <c r="E13" s="12" t="n">
        <v>46344</v>
      </c>
      <c r="F13" s="11" t="s">
        <v>94</v>
      </c>
      <c r="G13" s="11" t="n">
        <v>0</v>
      </c>
      <c r="H13" s="11" t="n">
        <v>2</v>
      </c>
      <c r="I13" s="11" t="n">
        <v>0</v>
      </c>
      <c r="J13" s="11" t="s">
        <v>190</v>
      </c>
      <c r="K13" s="11" t="s">
        <v>191</v>
      </c>
      <c r="L13" s="10" t="s">
        <v>75</v>
      </c>
      <c r="M13" s="10"/>
      <c r="N13" s="10"/>
      <c r="O13" s="10"/>
      <c r="P13" s="10"/>
    </row>
    <row r="14" customFormat="false" ht="60" hidden="false" customHeight="true" outlineLevel="0" collapsed="false">
      <c r="A14" s="11" t="s">
        <v>192</v>
      </c>
      <c r="B14" s="11" t="s">
        <v>193</v>
      </c>
      <c r="C14" s="11" t="s">
        <v>194</v>
      </c>
      <c r="D14" s="12" t="n">
        <v>46347</v>
      </c>
      <c r="E14" s="12" t="n">
        <v>46355</v>
      </c>
      <c r="F14" s="11" t="s">
        <v>86</v>
      </c>
      <c r="G14" s="11" t="n">
        <v>2</v>
      </c>
      <c r="H14" s="11" t="n">
        <v>5</v>
      </c>
      <c r="I14" s="11" t="n">
        <v>0</v>
      </c>
      <c r="J14" s="11" t="s">
        <v>190</v>
      </c>
      <c r="K14" s="11" t="s">
        <v>195</v>
      </c>
      <c r="L14" s="10" t="s">
        <v>75</v>
      </c>
      <c r="M14" s="10"/>
      <c r="N14" s="10"/>
      <c r="O14" s="10"/>
      <c r="P14" s="10"/>
    </row>
    <row r="15" customFormat="false" ht="45" hidden="false" customHeight="true" outlineLevel="0" collapsed="false">
      <c r="A15" s="11" t="s">
        <v>196</v>
      </c>
      <c r="B15" s="11" t="s">
        <v>147</v>
      </c>
      <c r="C15" s="11" t="s">
        <v>197</v>
      </c>
      <c r="D15" s="12" t="n">
        <v>46346</v>
      </c>
      <c r="E15" s="12" t="n">
        <v>46346</v>
      </c>
      <c r="F15" s="11" t="s">
        <v>86</v>
      </c>
      <c r="G15" s="11" t="n">
        <v>0</v>
      </c>
      <c r="H15" s="11" t="n">
        <v>1</v>
      </c>
      <c r="I15" s="11" t="n">
        <v>0</v>
      </c>
      <c r="J15" s="11" t="s">
        <v>73</v>
      </c>
      <c r="K15" s="11" t="s">
        <v>198</v>
      </c>
      <c r="L15" s="10" t="s">
        <v>75</v>
      </c>
      <c r="M15" s="10"/>
      <c r="N15" s="10"/>
      <c r="O15" s="10"/>
      <c r="P15" s="10"/>
    </row>
    <row r="16" customFormat="false" ht="15" hidden="false" customHeight="false" outlineLevel="0" collapsed="false">
      <c r="C16" s="2" t="s">
        <v>50</v>
      </c>
      <c r="G16" s="2" t="n">
        <f aca="false">SUM(G3:G15)</f>
        <v>4.5</v>
      </c>
      <c r="H16" s="2" t="n">
        <f aca="false">SUM(H3:H15)</f>
        <v>20.5</v>
      </c>
      <c r="I16" s="2" t="n">
        <f aca="false">SUM(I3:I15)</f>
        <v>85</v>
      </c>
      <c r="M16" s="2" t="n">
        <f aca="false">SUM(M3:M15)</f>
        <v>0</v>
      </c>
      <c r="N16" s="2" t="n">
        <f aca="false">SUM(N3:N15)</f>
        <v>0</v>
      </c>
      <c r="O16" s="2" t="n">
        <f aca="false">SUM(O3:O15)</f>
        <v>0</v>
      </c>
    </row>
  </sheetData>
  <dataValidations count="1">
    <dataValidation allowBlank="true" errorStyle="stop" operator="between" showDropDown="false" showErrorMessage="false" showInputMessage="false" sqref="L3:L24" type="list">
      <formula1>"Pendiente,En curso,Hecho,Pasó,Repetir con cambio,No pasó,No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true" outlineLevel="0" collapsed="false">
      <c r="A1" s="13" t="s">
        <v>199</v>
      </c>
      <c r="B1" s="3"/>
    </row>
    <row r="2" customFormat="false" ht="30" hidden="false" customHeight="true" outlineLevel="0" collapsed="false">
      <c r="A2" s="13" t="s">
        <v>200</v>
      </c>
      <c r="B2" s="3" t="s">
        <v>201</v>
      </c>
    </row>
    <row r="3" customFormat="false" ht="30" hidden="false" customHeight="true" outlineLevel="0" collapsed="false">
      <c r="A3" s="3" t="s">
        <v>202</v>
      </c>
      <c r="B3" s="3" t="s">
        <v>203</v>
      </c>
    </row>
    <row r="4" customFormat="false" ht="45" hidden="false" customHeight="true" outlineLevel="0" collapsed="false">
      <c r="A4" s="13" t="s">
        <v>204</v>
      </c>
      <c r="B4" s="3" t="s">
        <v>205</v>
      </c>
    </row>
    <row r="5" customFormat="false" ht="30" hidden="false" customHeight="true" outlineLevel="0" collapsed="false">
      <c r="A5" s="13" t="s">
        <v>206</v>
      </c>
      <c r="B5" s="3" t="s">
        <v>207</v>
      </c>
    </row>
    <row r="6" customFormat="false" ht="30" hidden="false" customHeight="true" outlineLevel="0" collapsed="false">
      <c r="A6" s="3" t="s">
        <v>208</v>
      </c>
      <c r="B6" s="3" t="s">
        <v>209</v>
      </c>
    </row>
    <row r="7" customFormat="false" ht="15" hidden="false" customHeight="true" outlineLevel="0" collapsed="false">
      <c r="A7" s="3" t="s">
        <v>210</v>
      </c>
      <c r="B7" s="3" t="s">
        <v>211</v>
      </c>
    </row>
    <row r="8" customFormat="false" ht="15" hidden="false" customHeight="true" outlineLevel="0" collapsed="false">
      <c r="A8" s="3"/>
      <c r="B8" s="3"/>
    </row>
    <row r="9" customFormat="false" ht="75" hidden="false" customHeight="true" outlineLevel="0" collapsed="false">
      <c r="A9" s="13" t="s">
        <v>212</v>
      </c>
      <c r="B9" s="3" t="s">
        <v>213</v>
      </c>
    </row>
    <row r="10" customFormat="false" ht="15" hidden="false" customHeight="true" outlineLevel="0" collapsed="false">
      <c r="A10" s="3" t="s">
        <v>214</v>
      </c>
      <c r="B10" s="3" t="s">
        <v>215</v>
      </c>
    </row>
    <row r="11" customFormat="false" ht="15" hidden="false" customHeight="true" outlineLevel="0" collapsed="false">
      <c r="A11" s="3"/>
      <c r="B11" s="3"/>
    </row>
    <row r="12" customFormat="false" ht="75" hidden="false" customHeight="true" outlineLevel="0" collapsed="false">
      <c r="A12" s="13" t="s">
        <v>216</v>
      </c>
      <c r="B12" s="3" t="s">
        <v>217</v>
      </c>
    </row>
    <row r="13" customFormat="false" ht="15" hidden="false" customHeight="true" outlineLevel="0" collapsed="false">
      <c r="A13" s="3" t="s">
        <v>218</v>
      </c>
      <c r="B13" s="3" t="s">
        <v>219</v>
      </c>
    </row>
    <row r="14" customFormat="false" ht="45" hidden="false" customHeight="true" outlineLevel="0" collapsed="false">
      <c r="A14" s="3" t="s">
        <v>220</v>
      </c>
      <c r="B14" s="3" t="s">
        <v>221</v>
      </c>
    </row>
    <row r="15" customFormat="false" ht="15" hidden="false" customHeight="true" outlineLevel="0" collapsed="false">
      <c r="A15" s="3"/>
      <c r="B15" s="3"/>
    </row>
    <row r="16" customFormat="false" ht="15" hidden="false" customHeight="true" outlineLevel="0" collapsed="false">
      <c r="A16" s="13" t="s">
        <v>222</v>
      </c>
      <c r="B16" s="3"/>
    </row>
    <row r="17" customFormat="false" ht="30" hidden="false" customHeight="true" outlineLevel="0" collapsed="false">
      <c r="A17" s="3" t="s">
        <v>223</v>
      </c>
      <c r="B17" s="3" t="s">
        <v>224</v>
      </c>
    </row>
    <row r="18" customFormat="false" ht="30" hidden="false" customHeight="true" outlineLevel="0" collapsed="false">
      <c r="A18" s="3" t="s">
        <v>225</v>
      </c>
      <c r="B18" s="3" t="s">
        <v>226</v>
      </c>
    </row>
    <row r="19" customFormat="false" ht="15" hidden="false" customHeight="true" outlineLevel="0" collapsed="false">
      <c r="A19" s="3" t="s">
        <v>227</v>
      </c>
      <c r="B19" s="3" t="s">
        <v>228</v>
      </c>
    </row>
    <row r="20" customFormat="false" ht="15" hidden="false" customHeight="true" outlineLevel="0" collapsed="false">
      <c r="A20" s="3" t="s">
        <v>229</v>
      </c>
      <c r="B20" s="3" t="s">
        <v>230</v>
      </c>
    </row>
    <row r="21" customFormat="false" ht="15" hidden="false" customHeight="true" outlineLevel="0" collapsed="false">
      <c r="A21" s="3" t="s">
        <v>231</v>
      </c>
      <c r="B21" s="3" t="s">
        <v>232</v>
      </c>
    </row>
    <row r="22" customFormat="false" ht="15" hidden="false" customHeight="true" outlineLevel="0" collapsed="false">
      <c r="A22" s="3"/>
      <c r="B22" s="3"/>
    </row>
    <row r="23" customFormat="false" ht="15" hidden="false" customHeight="true" outlineLevel="0" collapsed="false">
      <c r="A23" s="3" t="s">
        <v>233</v>
      </c>
      <c r="B23" s="3"/>
    </row>
    <row r="24" customFormat="false" ht="45" hidden="false" customHeight="true" outlineLevel="0" collapsed="false">
      <c r="A24" s="3" t="s">
        <v>234</v>
      </c>
      <c r="B24" s="3" t="s">
        <v>235</v>
      </c>
    </row>
    <row r="25" customFormat="false" ht="30" hidden="false" customHeight="true" outlineLevel="0" collapsed="false">
      <c r="A25" s="3" t="s">
        <v>236</v>
      </c>
      <c r="B25" s="3" t="s">
        <v>237</v>
      </c>
    </row>
    <row r="26" customFormat="false" ht="60" hidden="false" customHeight="true" outlineLevel="0" collapsed="false">
      <c r="A26" s="3" t="s">
        <v>238</v>
      </c>
      <c r="B26" s="3" t="s">
        <v>239</v>
      </c>
    </row>
    <row r="27" customFormat="false" ht="45" hidden="false" customHeight="true" outlineLevel="0" collapsed="false">
      <c r="A27" s="3" t="s">
        <v>240</v>
      </c>
      <c r="B27" s="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2" t="s">
        <v>242</v>
      </c>
    </row>
    <row r="3" customFormat="false" ht="15" hidden="false" customHeight="false" outlineLevel="0" collapsed="false">
      <c r="A3" s="2" t="s">
        <v>243</v>
      </c>
    </row>
    <row r="4" customFormat="false" ht="35.05" hidden="false" customHeight="false" outlineLevel="0" collapsed="false">
      <c r="A4" s="5" t="s">
        <v>244</v>
      </c>
      <c r="B4" s="5" t="s">
        <v>245</v>
      </c>
      <c r="C4" s="5" t="s">
        <v>246</v>
      </c>
      <c r="D4" s="5" t="s">
        <v>247</v>
      </c>
      <c r="E4" s="5" t="s">
        <v>248</v>
      </c>
      <c r="F4" s="5" t="s">
        <v>249</v>
      </c>
      <c r="G4" s="5" t="s">
        <v>250</v>
      </c>
      <c r="H4" s="5" t="s">
        <v>251</v>
      </c>
      <c r="I4" s="5" t="s">
        <v>252</v>
      </c>
      <c r="J4" s="5" t="s">
        <v>253</v>
      </c>
      <c r="K4" s="5" t="s">
        <v>254</v>
      </c>
    </row>
    <row r="5" customFormat="false" ht="15" hidden="false" customHeight="false" outlineLevel="0" collapsed="false">
      <c r="A5" s="14" t="s">
        <v>223</v>
      </c>
      <c r="B5" s="15"/>
      <c r="C5" s="16"/>
      <c r="D5" s="15"/>
      <c r="E5" s="15"/>
      <c r="F5" s="15"/>
      <c r="G5" s="15"/>
      <c r="H5" s="16"/>
      <c r="I5" s="15"/>
      <c r="J5" s="15"/>
      <c r="K5" s="15"/>
    </row>
    <row r="6" customFormat="false" ht="15" hidden="false" customHeight="false" outlineLevel="0" collapsed="false">
      <c r="A6" s="14" t="s">
        <v>255</v>
      </c>
      <c r="B6" s="15"/>
      <c r="C6" s="16"/>
      <c r="D6" s="15"/>
      <c r="E6" s="15"/>
      <c r="F6" s="15"/>
      <c r="G6" s="15"/>
      <c r="H6" s="16"/>
      <c r="I6" s="15"/>
      <c r="J6" s="15"/>
      <c r="K6" s="15"/>
    </row>
    <row r="7" customFormat="false" ht="15" hidden="false" customHeight="false" outlineLevel="0" collapsed="false">
      <c r="A7" s="14" t="s">
        <v>227</v>
      </c>
      <c r="B7" s="15"/>
      <c r="C7" s="16"/>
      <c r="D7" s="15"/>
      <c r="E7" s="15"/>
      <c r="F7" s="15"/>
      <c r="G7" s="15"/>
      <c r="H7" s="16"/>
      <c r="I7" s="15"/>
      <c r="J7" s="15"/>
      <c r="K7" s="15"/>
    </row>
    <row r="8" customFormat="false" ht="15" hidden="false" customHeight="false" outlineLevel="0" collapsed="false">
      <c r="A8" s="14" t="s">
        <v>229</v>
      </c>
      <c r="B8" s="15"/>
      <c r="C8" s="16"/>
      <c r="D8" s="15"/>
      <c r="E8" s="15"/>
      <c r="F8" s="15"/>
      <c r="G8" s="15"/>
      <c r="H8" s="16"/>
      <c r="I8" s="15"/>
      <c r="J8" s="15"/>
      <c r="K8" s="15"/>
    </row>
    <row r="9" customFormat="false" ht="15" hidden="false" customHeight="false" outlineLevel="0" collapsed="false">
      <c r="A9" s="14" t="s">
        <v>256</v>
      </c>
      <c r="B9" s="15"/>
      <c r="C9" s="16"/>
      <c r="D9" s="15"/>
      <c r="E9" s="15"/>
      <c r="F9" s="15"/>
      <c r="G9" s="15"/>
      <c r="H9" s="16"/>
      <c r="I9" s="15"/>
      <c r="J9" s="15"/>
      <c r="K9" s="15"/>
    </row>
    <row r="10" customFormat="false" ht="15" hidden="false" customHeight="false" outlineLevel="0" collapsed="false">
      <c r="A10" s="14" t="s">
        <v>257</v>
      </c>
      <c r="B10" s="15"/>
      <c r="C10" s="16"/>
      <c r="D10" s="15"/>
      <c r="E10" s="15"/>
      <c r="F10" s="15"/>
      <c r="G10" s="15"/>
      <c r="H10" s="16"/>
      <c r="I10" s="15"/>
      <c r="J10" s="15"/>
      <c r="K10" s="15"/>
    </row>
    <row r="11" customFormat="false" ht="15" hidden="false" customHeight="false" outlineLevel="0" collapsed="false">
      <c r="A11" s="4" t="s">
        <v>258</v>
      </c>
      <c r="B11" s="2" t="n">
        <f aca="false">COUNTA(F5:F10)</f>
        <v>0</v>
      </c>
    </row>
    <row r="12" customFormat="false" ht="15" hidden="false" customHeight="false" outlineLevel="0" collapsed="false">
      <c r="A12" s="4" t="s">
        <v>259</v>
      </c>
      <c r="B12" s="2" t="n">
        <f aca="false">COUNTIF(F5:F10,"&gt;=80")</f>
        <v>0</v>
      </c>
    </row>
    <row r="13" customFormat="false" ht="15" hidden="false" customHeight="false" outlineLevel="0" collapsed="false">
      <c r="A13" s="4" t="s">
        <v>260</v>
      </c>
      <c r="B13" s="2" t="n">
        <f aca="false">COUNTIF(G5:G10,"Sí")</f>
        <v>0</v>
      </c>
    </row>
    <row r="14" customFormat="false" ht="15" hidden="false" customHeight="false" outlineLevel="0" collapsed="false">
      <c r="A14" s="4" t="s">
        <v>261</v>
      </c>
      <c r="B14" s="2" t="n">
        <f aca="false">COUNTIF(F5:F10,"&gt;0")</f>
        <v>0</v>
      </c>
    </row>
    <row r="15" customFormat="false" ht="15" hidden="false" customHeight="false" outlineLevel="0" collapsed="false">
      <c r="A15" s="4" t="s">
        <v>262</v>
      </c>
      <c r="B15" s="2" t="n">
        <f aca="false">COUNTIF(D5:D10,"&lt;231")</f>
        <v>0</v>
      </c>
    </row>
    <row r="16" customFormat="false" ht="15" hidden="false" customHeight="false" outlineLevel="0" collapsed="false">
      <c r="A16" s="4" t="s">
        <v>263</v>
      </c>
      <c r="B16" s="2" t="n">
        <f aca="false">COUNTIF(I5:I10,"&gt;=100")</f>
        <v>0</v>
      </c>
    </row>
    <row r="17" customFormat="false" ht="15" hidden="false" customHeight="false" outlineLevel="0" collapsed="false">
      <c r="A17" s="2" t="s">
        <v>264</v>
      </c>
      <c r="B17" s="17" t="str">
        <f aca="false">IF(B11&lt;5,"Faltan entrevistas (mínimo 5)",IF(AND(B12&gt;=3,B13&gt;=1),"PASA → hacer A2",IF(B14=2,"REPETIR CON CAMBIO → A2 con módulo básico a S/ 50 → S/ 80","NO PASA → A2 no se hace; chatbot a banda 31-ene")))</f>
        <v>Faltan entrevistas (mínimo 5)</v>
      </c>
    </row>
    <row r="18" customFormat="false" ht="15" hidden="false" customHeight="false" outlineLevel="0" collapsed="false">
      <c r="A18" s="4" t="s">
        <v>265</v>
      </c>
      <c r="B18" s="2" t="str">
        <f aca="false">IF(B11&lt;5,"Pendiente",IF(B16&gt;=2,"Sigue vivo en reserva","Se archiva"))</f>
        <v>Pendiente</v>
      </c>
    </row>
    <row r="19" customFormat="false" ht="15" hidden="false" customHeight="false" outlineLevel="0" collapsed="false">
      <c r="A19" s="4" t="s">
        <v>266</v>
      </c>
      <c r="B19" s="2" t="str">
        <f aca="false">IF(B11&lt;5,"Pendiente",IF(B15&gt;=4,"Se mantiene S/ 33,07","Recalcular S-29 con el volumen real"))</f>
        <v>Pendiente</v>
      </c>
    </row>
    <row r="21" customFormat="false" ht="15" hidden="false" customHeight="false" outlineLevel="0" collapsed="false">
      <c r="A21" s="2" t="s">
        <v>267</v>
      </c>
    </row>
    <row r="22" customFormat="false" ht="23.85" hidden="false" customHeight="false" outlineLevel="0" collapsed="false">
      <c r="A22" s="5" t="s">
        <v>268</v>
      </c>
      <c r="B22" s="5" t="s">
        <v>269</v>
      </c>
      <c r="C22" s="5" t="s">
        <v>270</v>
      </c>
      <c r="D22" s="5" t="s">
        <v>271</v>
      </c>
      <c r="E22" s="5" t="s">
        <v>272</v>
      </c>
      <c r="F22" s="5" t="s">
        <v>273</v>
      </c>
      <c r="G22" s="5" t="s">
        <v>274</v>
      </c>
      <c r="H22" s="5" t="s">
        <v>254</v>
      </c>
      <c r="I22" s="5" t="s">
        <v>275</v>
      </c>
    </row>
    <row r="23" customFormat="false" ht="15" hidden="false" customHeight="false" outlineLevel="0" collapsed="false">
      <c r="A23" s="15"/>
      <c r="B23" s="15"/>
      <c r="C23" s="16"/>
      <c r="D23" s="15"/>
      <c r="E23" s="16"/>
      <c r="F23" s="15"/>
      <c r="G23" s="15"/>
      <c r="H23" s="15"/>
      <c r="I23" s="15"/>
    </row>
    <row r="24" customFormat="false" ht="15" hidden="false" customHeight="false" outlineLevel="0" collapsed="false">
      <c r="A24" s="15"/>
      <c r="B24" s="15"/>
      <c r="C24" s="16"/>
      <c r="D24" s="15"/>
      <c r="E24" s="16"/>
      <c r="F24" s="15"/>
      <c r="G24" s="15"/>
      <c r="H24" s="15"/>
      <c r="I24" s="15"/>
    </row>
    <row r="25" customFormat="false" ht="15" hidden="false" customHeight="false" outlineLevel="0" collapsed="false">
      <c r="A25" s="15"/>
      <c r="B25" s="15"/>
      <c r="C25" s="16"/>
      <c r="D25" s="15"/>
      <c r="E25" s="16"/>
      <c r="F25" s="15"/>
      <c r="G25" s="15"/>
      <c r="H25" s="15"/>
      <c r="I25" s="15"/>
    </row>
    <row r="26" customFormat="false" ht="15" hidden="false" customHeight="false" outlineLevel="0" collapsed="false">
      <c r="A26" s="15"/>
      <c r="B26" s="15"/>
      <c r="C26" s="16"/>
      <c r="D26" s="15"/>
      <c r="E26" s="16"/>
      <c r="F26" s="15"/>
      <c r="G26" s="15"/>
      <c r="H26" s="15"/>
      <c r="I26" s="15"/>
    </row>
    <row r="27" customFormat="false" ht="15" hidden="false" customHeight="false" outlineLevel="0" collapsed="false">
      <c r="A27" s="15"/>
      <c r="B27" s="15"/>
      <c r="C27" s="16"/>
      <c r="D27" s="15"/>
      <c r="E27" s="16"/>
      <c r="F27" s="15"/>
      <c r="G27" s="15"/>
      <c r="H27" s="15"/>
      <c r="I27" s="15"/>
    </row>
    <row r="28" customFormat="false" ht="15" hidden="false" customHeight="false" outlineLevel="0" collapsed="false">
      <c r="A28" s="15"/>
      <c r="B28" s="15"/>
      <c r="C28" s="16"/>
      <c r="D28" s="15"/>
      <c r="E28" s="16"/>
      <c r="F28" s="15"/>
      <c r="G28" s="15"/>
      <c r="H28" s="15"/>
      <c r="I28" s="15"/>
    </row>
    <row r="29" customFormat="false" ht="15" hidden="false" customHeight="false" outlineLevel="0" collapsed="false">
      <c r="A29" s="4" t="s">
        <v>276</v>
      </c>
      <c r="B29" s="2" t="n">
        <f aca="false">COUNTIFS(D23:D28,"&gt;0",I23:I28,"&lt;&gt;Sí")</f>
        <v>0</v>
      </c>
    </row>
    <row r="30" customFormat="false" ht="15" hidden="false" customHeight="false" outlineLevel="0" collapsed="false">
      <c r="A30" s="4" t="s">
        <v>277</v>
      </c>
      <c r="B30" s="2" t="n">
        <f aca="false">SUM(D23:D28)</f>
        <v>0</v>
      </c>
    </row>
    <row r="31" customFormat="false" ht="15" hidden="false" customHeight="false" outlineLevel="0" collapsed="false">
      <c r="A31" s="4" t="s">
        <v>278</v>
      </c>
      <c r="B31" s="2" t="n">
        <f aca="false">COUNTIF(B23:B28,"Sí cuando lo vea funcionando")</f>
        <v>0</v>
      </c>
    </row>
    <row r="32" customFormat="false" ht="15" hidden="false" customHeight="false" outlineLevel="0" collapsed="false">
      <c r="A32" s="4" t="s">
        <v>279</v>
      </c>
      <c r="B32" s="2" t="n">
        <f aca="false">COUNTIF(F23:F28,"Sí")</f>
        <v>0</v>
      </c>
    </row>
    <row r="33" customFormat="false" ht="15" hidden="false" customHeight="false" outlineLevel="0" collapsed="false">
      <c r="A33" s="2" t="s">
        <v>280</v>
      </c>
      <c r="B33" s="17" t="str">
        <f aca="false">IF(COUNTA(B23:B28)=0,"Pendiente",IF(B29&gt;=2,"PASA (escenario base) → A3",IF(B29=1,"PASA (escenario pesimista) → A3",IF(B31&gt;=2,"REPETIR CON CAMBIO → ofrecer 14 días gratis a UNO, plazo 22-nov","NO PASA → no se construye nada"))))</f>
        <v>Pendiente</v>
      </c>
    </row>
    <row r="35" customFormat="false" ht="15" hidden="false" customHeight="false" outlineLevel="0" collapsed="false">
      <c r="A35" s="2" t="s">
        <v>281</v>
      </c>
    </row>
    <row r="36" customFormat="false" ht="15" hidden="false" customHeight="false" outlineLevel="0" collapsed="false">
      <c r="A36" s="18" t="s">
        <v>282</v>
      </c>
      <c r="B36" s="18" t="s">
        <v>67</v>
      </c>
      <c r="C36" s="18" t="s">
        <v>283</v>
      </c>
    </row>
    <row r="37" customFormat="false" ht="15" hidden="false" customHeight="false" outlineLevel="0" collapsed="false">
      <c r="A37" s="4" t="s">
        <v>284</v>
      </c>
      <c r="B37" s="15"/>
      <c r="C37" s="15"/>
    </row>
    <row r="38" customFormat="false" ht="15" hidden="false" customHeight="false" outlineLevel="0" collapsed="false">
      <c r="A38" s="4" t="s">
        <v>285</v>
      </c>
      <c r="B38" s="15"/>
      <c r="C38" s="15"/>
    </row>
    <row r="39" customFormat="false" ht="15" hidden="false" customHeight="false" outlineLevel="0" collapsed="false">
      <c r="A39" s="4" t="s">
        <v>286</v>
      </c>
      <c r="B39" s="15"/>
      <c r="C39" s="15"/>
    </row>
    <row r="40" customFormat="false" ht="15" hidden="false" customHeight="false" outlineLevel="0" collapsed="false">
      <c r="A40" s="4" t="s">
        <v>287</v>
      </c>
      <c r="B40" s="15"/>
      <c r="C40" s="15"/>
    </row>
    <row r="41" customFormat="false" ht="15" hidden="false" customHeight="false" outlineLevel="0" collapsed="false">
      <c r="A41" s="4" t="s">
        <v>288</v>
      </c>
      <c r="B41" s="15"/>
      <c r="C41" s="15"/>
    </row>
    <row r="42" customFormat="false" ht="15" hidden="false" customHeight="false" outlineLevel="0" collapsed="false">
      <c r="A42" s="4" t="s">
        <v>289</v>
      </c>
      <c r="B42" s="15"/>
      <c r="C42" s="15"/>
    </row>
    <row r="43" customFormat="false" ht="15" hidden="false" customHeight="false" outlineLevel="0" collapsed="false">
      <c r="A43" s="4" t="s">
        <v>290</v>
      </c>
      <c r="B43" s="15"/>
      <c r="C43" s="15"/>
    </row>
    <row r="44" customFormat="false" ht="15" hidden="false" customHeight="false" outlineLevel="0" collapsed="false">
      <c r="A44" s="4" t="s">
        <v>291</v>
      </c>
      <c r="B44" s="15"/>
      <c r="C44" s="15"/>
    </row>
    <row r="45" customFormat="false" ht="15" hidden="false" customHeight="false" outlineLevel="0" collapsed="false">
      <c r="A45" s="4" t="s">
        <v>292</v>
      </c>
      <c r="B45" s="15"/>
      <c r="C45" s="15"/>
    </row>
    <row r="46" customFormat="false" ht="15" hidden="false" customHeight="false" outlineLevel="0" collapsed="false">
      <c r="A46" s="4" t="s">
        <v>293</v>
      </c>
      <c r="B46" s="15"/>
      <c r="C46" s="15"/>
    </row>
    <row r="47" customFormat="false" ht="15" hidden="false" customHeight="false" outlineLevel="0" collapsed="false">
      <c r="A47" s="2" t="s">
        <v>294</v>
      </c>
      <c r="B47" s="2" t="n">
        <f aca="false">SUM(B37:B46)</f>
        <v>0</v>
      </c>
    </row>
    <row r="48" customFormat="false" ht="15" hidden="false" customHeight="false" outlineLevel="0" collapsed="false">
      <c r="A48" s="4" t="s">
        <v>295</v>
      </c>
      <c r="B48" s="2" t="n">
        <f aca="false">B46</f>
        <v>0</v>
      </c>
    </row>
    <row r="49" customFormat="false" ht="15" hidden="false" customHeight="false" outlineLevel="0" collapsed="false">
      <c r="A49" s="4" t="s">
        <v>296</v>
      </c>
      <c r="B49" s="19"/>
    </row>
    <row r="50" customFormat="false" ht="15" hidden="false" customHeight="false" outlineLevel="0" collapsed="false">
      <c r="A50" s="4" t="s">
        <v>297</v>
      </c>
      <c r="B50" s="19"/>
    </row>
    <row r="51" customFormat="false" ht="15" hidden="false" customHeight="false" outlineLevel="0" collapsed="false">
      <c r="A51" s="2" t="s">
        <v>298</v>
      </c>
      <c r="B51" s="2" t="s">
        <v>299</v>
      </c>
      <c r="C51" s="2" t="s">
        <v>300</v>
      </c>
    </row>
    <row r="52" customFormat="false" ht="15" hidden="false" customHeight="false" outlineLevel="0" collapsed="false">
      <c r="A52" s="4" t="s">
        <v>301</v>
      </c>
      <c r="B52" s="15"/>
      <c r="C52" s="15"/>
    </row>
    <row r="53" customFormat="false" ht="15" hidden="false" customHeight="false" outlineLevel="0" collapsed="false">
      <c r="A53" s="4" t="s">
        <v>302</v>
      </c>
      <c r="B53" s="15"/>
      <c r="C53" s="15"/>
    </row>
    <row r="54" customFormat="false" ht="15" hidden="false" customHeight="false" outlineLevel="0" collapsed="false">
      <c r="A54" s="4" t="s">
        <v>303</v>
      </c>
      <c r="B54" s="15"/>
      <c r="C54" s="15"/>
    </row>
    <row r="55" customFormat="false" ht="15" hidden="false" customHeight="false" outlineLevel="0" collapsed="false">
      <c r="A55" s="4" t="s">
        <v>304</v>
      </c>
      <c r="B55" s="15"/>
      <c r="C55" s="15"/>
    </row>
    <row r="56" customFormat="false" ht="15" hidden="false" customHeight="false" outlineLevel="0" collapsed="false">
      <c r="A56" s="4" t="s">
        <v>305</v>
      </c>
      <c r="B56" s="15"/>
      <c r="C56" s="15"/>
    </row>
    <row r="57" customFormat="false" ht="15" hidden="false" customHeight="false" outlineLevel="0" collapsed="false">
      <c r="A57" s="4" t="s">
        <v>306</v>
      </c>
      <c r="B57" s="2" t="n">
        <f aca="false">COUNTIFS(B52:B56,"&gt;=60",B52:B56,"&lt;=100")</f>
        <v>0</v>
      </c>
    </row>
    <row r="58" customFormat="false" ht="15" hidden="false" customHeight="false" outlineLevel="0" collapsed="false">
      <c r="A58" s="2" t="s">
        <v>307</v>
      </c>
      <c r="B58" s="17" t="str">
        <f aca="false">IF(B47=0,"Pendiente",IF(AND(B47&lt;=40,B57&gt;=3,B50&lt;=60,B48&lt;=20),"PASA → preventa a S/ 80 / S/ 95",IF(AND(B47&gt;40,B47&lt;=50,B48&lt;=20),"REPETIR CON CAMBIO → preventa a S/ 95 / S/ 110 (verificar ≥ 3 competidores en ese rango)","NO PASA → B2 y B3 no se hacen; B se descarta")))</f>
        <v>Pendiente</v>
      </c>
    </row>
    <row r="60" customFormat="false" ht="15" hidden="false" customHeight="false" outlineLevel="0" collapsed="false">
      <c r="A60" s="2" t="s">
        <v>308</v>
      </c>
    </row>
    <row r="61" customFormat="false" ht="35.05" hidden="false" customHeight="false" outlineLevel="0" collapsed="false">
      <c r="A61" s="5" t="s">
        <v>268</v>
      </c>
      <c r="B61" s="5" t="s">
        <v>309</v>
      </c>
      <c r="C61" s="5" t="s">
        <v>310</v>
      </c>
      <c r="D61" s="5" t="s">
        <v>311</v>
      </c>
      <c r="E61" s="5" t="s">
        <v>312</v>
      </c>
      <c r="F61" s="5" t="s">
        <v>313</v>
      </c>
      <c r="G61" s="5" t="s">
        <v>314</v>
      </c>
      <c r="H61" s="5" t="s">
        <v>315</v>
      </c>
      <c r="I61" s="5" t="s">
        <v>316</v>
      </c>
      <c r="J61" s="5" t="s">
        <v>317</v>
      </c>
      <c r="K61" s="5" t="s">
        <v>254</v>
      </c>
    </row>
    <row r="62" customFormat="false" ht="15" hidden="false" customHeight="false" outlineLevel="0" collapsed="false">
      <c r="A62" s="15"/>
      <c r="B62" s="16"/>
      <c r="C62" s="15"/>
      <c r="D62" s="15"/>
      <c r="E62" s="15"/>
      <c r="F62" s="15"/>
      <c r="G62" s="15"/>
      <c r="H62" s="16"/>
      <c r="I62" s="15"/>
      <c r="J62" s="15"/>
      <c r="K62" s="15"/>
    </row>
    <row r="63" customFormat="false" ht="15" hidden="false" customHeight="false" outlineLevel="0" collapsed="false">
      <c r="A63" s="15"/>
      <c r="B63" s="16"/>
      <c r="C63" s="15"/>
      <c r="D63" s="15"/>
      <c r="E63" s="15"/>
      <c r="F63" s="15"/>
      <c r="G63" s="15"/>
      <c r="H63" s="16"/>
      <c r="I63" s="15"/>
      <c r="J63" s="15"/>
      <c r="K63" s="15"/>
    </row>
    <row r="64" customFormat="false" ht="15" hidden="false" customHeight="false" outlineLevel="0" collapsed="false">
      <c r="A64" s="15"/>
      <c r="B64" s="16"/>
      <c r="C64" s="15"/>
      <c r="D64" s="15"/>
      <c r="E64" s="15"/>
      <c r="F64" s="15"/>
      <c r="G64" s="15"/>
      <c r="H64" s="16"/>
      <c r="I64" s="15"/>
      <c r="J64" s="15"/>
      <c r="K64" s="15"/>
    </row>
    <row r="65" customFormat="false" ht="15" hidden="false" customHeight="false" outlineLevel="0" collapsed="false">
      <c r="A65" s="15"/>
      <c r="B65" s="16"/>
      <c r="C65" s="15"/>
      <c r="D65" s="15"/>
      <c r="E65" s="15"/>
      <c r="F65" s="15"/>
      <c r="G65" s="15"/>
      <c r="H65" s="16"/>
      <c r="I65" s="15"/>
      <c r="J65" s="15"/>
      <c r="K65" s="15"/>
    </row>
    <row r="66" customFormat="false" ht="15" hidden="false" customHeight="false" outlineLevel="0" collapsed="false">
      <c r="A66" s="15"/>
      <c r="B66" s="16"/>
      <c r="C66" s="15"/>
      <c r="D66" s="15"/>
      <c r="E66" s="15"/>
      <c r="F66" s="15"/>
      <c r="G66" s="15"/>
      <c r="H66" s="16"/>
      <c r="I66" s="15"/>
      <c r="J66" s="15"/>
      <c r="K66" s="15"/>
    </row>
    <row r="67" customFormat="false" ht="15" hidden="false" customHeight="false" outlineLevel="0" collapsed="false">
      <c r="A67" s="15"/>
      <c r="B67" s="16"/>
      <c r="C67" s="15"/>
      <c r="D67" s="15"/>
      <c r="E67" s="15"/>
      <c r="F67" s="15"/>
      <c r="G67" s="15"/>
      <c r="H67" s="16"/>
      <c r="I67" s="15"/>
      <c r="J67" s="15"/>
      <c r="K67" s="15"/>
    </row>
    <row r="68" customFormat="false" ht="15" hidden="false" customHeight="false" outlineLevel="0" collapsed="false">
      <c r="A68" s="15"/>
      <c r="B68" s="16"/>
      <c r="C68" s="15"/>
      <c r="D68" s="15"/>
      <c r="E68" s="15"/>
      <c r="F68" s="15"/>
      <c r="G68" s="15"/>
      <c r="H68" s="16"/>
      <c r="I68" s="15"/>
      <c r="J68" s="15"/>
      <c r="K68" s="15"/>
    </row>
    <row r="69" customFormat="false" ht="15" hidden="false" customHeight="false" outlineLevel="0" collapsed="false">
      <c r="A69" s="15"/>
      <c r="B69" s="16"/>
      <c r="C69" s="15"/>
      <c r="D69" s="15"/>
      <c r="E69" s="15"/>
      <c r="F69" s="15"/>
      <c r="G69" s="15"/>
      <c r="H69" s="16"/>
      <c r="I69" s="15"/>
      <c r="J69" s="15"/>
      <c r="K69" s="15"/>
    </row>
    <row r="70" customFormat="false" ht="15" hidden="false" customHeight="false" outlineLevel="0" collapsed="false">
      <c r="A70" s="15"/>
      <c r="B70" s="16"/>
      <c r="C70" s="15"/>
      <c r="D70" s="15"/>
      <c r="E70" s="15"/>
      <c r="F70" s="15"/>
      <c r="G70" s="15"/>
      <c r="H70" s="16"/>
      <c r="I70" s="15"/>
      <c r="J70" s="15"/>
      <c r="K70" s="15"/>
    </row>
    <row r="71" customFormat="false" ht="15" hidden="false" customHeight="false" outlineLevel="0" collapsed="false">
      <c r="A71" s="15"/>
      <c r="B71" s="16"/>
      <c r="C71" s="15"/>
      <c r="D71" s="15"/>
      <c r="E71" s="15"/>
      <c r="F71" s="15"/>
      <c r="G71" s="15"/>
      <c r="H71" s="16"/>
      <c r="I71" s="15"/>
      <c r="J71" s="15"/>
      <c r="K71" s="15"/>
    </row>
    <row r="72" customFormat="false" ht="15" hidden="false" customHeight="false" outlineLevel="0" collapsed="false">
      <c r="A72" s="15"/>
      <c r="B72" s="16"/>
      <c r="C72" s="15"/>
      <c r="D72" s="15"/>
      <c r="E72" s="15"/>
      <c r="F72" s="15"/>
      <c r="G72" s="15"/>
      <c r="H72" s="16"/>
      <c r="I72" s="15"/>
      <c r="J72" s="15"/>
      <c r="K72" s="15"/>
    </row>
    <row r="73" customFormat="false" ht="15" hidden="false" customHeight="false" outlineLevel="0" collapsed="false">
      <c r="A73" s="15"/>
      <c r="B73" s="16"/>
      <c r="C73" s="15"/>
      <c r="D73" s="15"/>
      <c r="E73" s="15"/>
      <c r="F73" s="15"/>
      <c r="G73" s="15"/>
      <c r="H73" s="16"/>
      <c r="I73" s="15"/>
      <c r="J73" s="15"/>
      <c r="K73" s="15"/>
    </row>
    <row r="74" customFormat="false" ht="15" hidden="false" customHeight="false" outlineLevel="0" collapsed="false">
      <c r="A74" s="4" t="s">
        <v>318</v>
      </c>
      <c r="B74" s="2" t="n">
        <f aca="false">COUNTIF(E62:E73,"Sí")</f>
        <v>0</v>
      </c>
    </row>
    <row r="75" customFormat="false" ht="15" hidden="false" customHeight="false" outlineLevel="0" collapsed="false">
      <c r="A75" s="4" t="s">
        <v>319</v>
      </c>
      <c r="B75" s="2" t="n">
        <f aca="false">SUMIF(E62:E73,"Sí",D62:D73)</f>
        <v>0</v>
      </c>
    </row>
    <row r="76" customFormat="false" ht="15" hidden="false" customHeight="false" outlineLevel="0" collapsed="false">
      <c r="A76" s="4" t="s">
        <v>320</v>
      </c>
      <c r="B76" s="2" t="n">
        <f aca="false">COUNTIFS(E62:E73,"Sí",F62:F73,"Sí")</f>
        <v>0</v>
      </c>
    </row>
    <row r="77" customFormat="false" ht="15" hidden="false" customHeight="false" outlineLevel="0" collapsed="false">
      <c r="A77" s="4" t="s">
        <v>321</v>
      </c>
      <c r="B77" s="2" t="n">
        <f aca="false">COUNTIFS(E62:E73,"Sí",G62:G73,"No")</f>
        <v>0</v>
      </c>
    </row>
    <row r="78" customFormat="false" ht="15" hidden="false" customHeight="false" outlineLevel="0" collapsed="false">
      <c r="A78" s="4" t="s">
        <v>322</v>
      </c>
      <c r="B78" s="2" t="n">
        <f aca="false">SUMIF(E62:E73,"Sí",I62:I73)</f>
        <v>0</v>
      </c>
    </row>
    <row r="79" customFormat="false" ht="15" hidden="false" customHeight="false" outlineLevel="0" collapsed="false">
      <c r="A79" s="4" t="s">
        <v>323</v>
      </c>
      <c r="B79" s="2" t="n">
        <f aca="false">IF(B74=0,0,B78/B74)</f>
        <v>0</v>
      </c>
    </row>
    <row r="80" customFormat="false" ht="15" hidden="false" customHeight="false" outlineLevel="0" collapsed="false">
      <c r="A80" s="4" t="s">
        <v>324</v>
      </c>
      <c r="B80" s="2" t="n">
        <f aca="false">IF(B74=0,0,SUMIF(E62:E73,"Sí",J62:J73)/B74)</f>
        <v>0</v>
      </c>
    </row>
    <row r="81" customFormat="false" ht="15" hidden="false" customHeight="false" outlineLevel="0" collapsed="false">
      <c r="A81" s="2" t="s">
        <v>325</v>
      </c>
      <c r="B81" s="17" t="str">
        <f aca="false">IF(B74=0,"Pendiente",IF(AND(B74&gt;=6,B76&gt;=2,B77/B74&gt;=0.6),"PASA → B4 y desempate",IF(B74&gt;=4,"REPETIR CON CAMBIO → extender al 22-nov con segunda foto y variante","NO PASA → B se descarta; lo cobrado se entrega igual")))</f>
        <v>Pendiente</v>
      </c>
    </row>
    <row r="83" customFormat="false" ht="15" hidden="false" customHeight="false" outlineLevel="0" collapsed="false">
      <c r="A83" s="2" t="s">
        <v>326</v>
      </c>
    </row>
    <row r="84" customFormat="false" ht="15" hidden="false" customHeight="false" outlineLevel="0" collapsed="false">
      <c r="A84" s="4" t="s">
        <v>327</v>
      </c>
      <c r="B84" s="19"/>
    </row>
    <row r="85" customFormat="false" ht="15" hidden="false" customHeight="false" outlineLevel="0" collapsed="false">
      <c r="A85" s="4" t="s">
        <v>328</v>
      </c>
      <c r="B85" s="19"/>
    </row>
    <row r="86" customFormat="false" ht="15" hidden="false" customHeight="false" outlineLevel="0" collapsed="false">
      <c r="A86" s="4" t="s">
        <v>329</v>
      </c>
      <c r="B86" s="19"/>
    </row>
    <row r="87" customFormat="false" ht="15" hidden="false" customHeight="false" outlineLevel="0" collapsed="false">
      <c r="A87" s="4" t="s">
        <v>330</v>
      </c>
      <c r="B87" s="2" t="n">
        <f aca="false">IF(B84=0,0,B85/B84)</f>
        <v>0</v>
      </c>
    </row>
    <row r="88" customFormat="false" ht="15" hidden="false" customHeight="false" outlineLevel="0" collapsed="false">
      <c r="A88" s="2" t="s">
        <v>331</v>
      </c>
      <c r="B88" s="17" t="str">
        <f aca="false">IF(B85=0,"Pendiente o no aplica",IF(AND(B84&gt;=5,B87&lt;=8,B86&gt;=1),"PASA → B puede crecer fuera del círculo","NO PASA → B queda como demanda solo de conocidos; crecimiento 0 % en Etapa 2"))</f>
        <v>Pendiente o no aplica</v>
      </c>
    </row>
  </sheetData>
  <dataValidations count="3">
    <dataValidation allowBlank="true" errorStyle="stop" operator="between" showDropDown="false" showErrorMessage="false" showInputMessage="false" sqref="G5:G10 J5:J10 F23:F28 I23:I28 E62:G73" type="list">
      <formula1>"Sí,No"</formula1>
      <formula2>0</formula2>
    </dataValidation>
    <dataValidation allowBlank="true" errorStyle="stop" operator="between" showDropDown="false" showErrorMessage="false" showInputMessage="false" sqref="F5:F10" type="list">
      <formula1>"0,50,100,150,200"</formula1>
      <formula2>0</formula2>
    </dataValidation>
    <dataValidation allowBlank="true" errorStyle="stop" operator="between" showDropDown="false" showErrorMessage="false" showInputMessage="false" sqref="B23:B28" type="list">
      <formula1>"Pagó,Sí cuando lo vea funcionando,No,Pendiente"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2" t="s">
        <v>332</v>
      </c>
    </row>
    <row r="2" customFormat="false" ht="15" hidden="false" customHeight="false" outlineLevel="0" collapsed="false">
      <c r="A2" s="4" t="s">
        <v>333</v>
      </c>
    </row>
    <row r="4" customFormat="false" ht="15" hidden="false" customHeight="false" outlineLevel="0" collapsed="false">
      <c r="A4" s="2" t="s">
        <v>334</v>
      </c>
      <c r="B4" s="20"/>
      <c r="C4" s="4"/>
    </row>
    <row r="5" customFormat="false" ht="15" hidden="false" customHeight="false" outlineLevel="0" collapsed="false">
      <c r="A5" s="4" t="s">
        <v>335</v>
      </c>
      <c r="B5" s="20" t="n">
        <f aca="false">'Registro de resultados'!B30</f>
        <v>0</v>
      </c>
      <c r="C5" s="4" t="s">
        <v>336</v>
      </c>
    </row>
    <row r="6" customFormat="false" ht="15" hidden="false" customHeight="false" outlineLevel="0" collapsed="false">
      <c r="A6" s="4" t="s">
        <v>337</v>
      </c>
      <c r="B6" s="15"/>
      <c r="C6" s="4" t="s">
        <v>338</v>
      </c>
    </row>
    <row r="7" customFormat="false" ht="15" hidden="false" customHeight="false" outlineLevel="0" collapsed="false">
      <c r="A7" s="4" t="s">
        <v>339</v>
      </c>
      <c r="B7" s="20" t="n">
        <f aca="false">'Registro de resultados'!B32</f>
        <v>0</v>
      </c>
      <c r="C7" s="4" t="s">
        <v>336</v>
      </c>
    </row>
    <row r="8" customFormat="false" ht="15" hidden="false" customHeight="false" outlineLevel="0" collapsed="false">
      <c r="A8" s="4" t="s">
        <v>340</v>
      </c>
      <c r="B8" s="15" t="n">
        <v>150</v>
      </c>
      <c r="C8" s="4" t="s">
        <v>341</v>
      </c>
    </row>
    <row r="9" customFormat="false" ht="15" hidden="false" customHeight="false" outlineLevel="0" collapsed="false">
      <c r="A9" s="4" t="s">
        <v>342</v>
      </c>
      <c r="B9" s="20" t="n">
        <v>33.07</v>
      </c>
      <c r="C9" s="4" t="s">
        <v>343</v>
      </c>
    </row>
    <row r="10" customFormat="false" ht="15" hidden="false" customHeight="false" outlineLevel="0" collapsed="false">
      <c r="A10" s="4" t="s">
        <v>344</v>
      </c>
      <c r="B10" s="20" t="n">
        <f aca="false">SUM('A Chatbot'!M3:N17)</f>
        <v>0</v>
      </c>
      <c r="C10" s="4" t="s">
        <v>336</v>
      </c>
    </row>
    <row r="11" customFormat="false" ht="15" hidden="false" customHeight="false" outlineLevel="0" collapsed="false">
      <c r="A11" s="4" t="s">
        <v>345</v>
      </c>
      <c r="B11" s="15"/>
      <c r="C11" s="4" t="s">
        <v>338</v>
      </c>
    </row>
    <row r="12" customFormat="false" ht="15" hidden="false" customHeight="false" outlineLevel="0" collapsed="false">
      <c r="A12" s="4" t="s">
        <v>346</v>
      </c>
      <c r="B12" s="20" t="n">
        <f aca="false">2*B7*2</f>
        <v>0</v>
      </c>
      <c r="C12" s="4" t="s">
        <v>336</v>
      </c>
    </row>
    <row r="13" customFormat="false" ht="15" hidden="false" customHeight="false" outlineLevel="0" collapsed="false">
      <c r="A13" s="4" t="s">
        <v>347</v>
      </c>
      <c r="B13" s="21" t="n">
        <f aca="false">B5-B6+2*(B8-B9)*B7</f>
        <v>0</v>
      </c>
      <c r="C13" s="4" t="s">
        <v>336</v>
      </c>
    </row>
    <row r="14" customFormat="false" ht="15" hidden="false" customHeight="false" outlineLevel="0" collapsed="false">
      <c r="A14" s="4" t="s">
        <v>348</v>
      </c>
      <c r="B14" s="20" t="n">
        <f aca="false">B10+IF(B11="",30,B11)+B12</f>
        <v>30</v>
      </c>
      <c r="C14" s="4" t="s">
        <v>336</v>
      </c>
    </row>
    <row r="15" customFormat="false" ht="15" hidden="false" customHeight="false" outlineLevel="0" collapsed="false">
      <c r="A15" s="4" t="s">
        <v>349</v>
      </c>
      <c r="B15" s="21" t="n">
        <f aca="false">IF(B14=0,0,B13/B14)</f>
        <v>0</v>
      </c>
      <c r="C15" s="4" t="s">
        <v>336</v>
      </c>
    </row>
    <row r="16" customFormat="false" ht="15" hidden="false" customHeight="false" outlineLevel="0" collapsed="false">
      <c r="A16" s="4"/>
      <c r="B16" s="20"/>
      <c r="C16" s="4"/>
    </row>
    <row r="17" customFormat="false" ht="15" hidden="false" customHeight="false" outlineLevel="0" collapsed="false">
      <c r="A17" s="2" t="s">
        <v>350</v>
      </c>
      <c r="B17" s="20"/>
      <c r="C17" s="4"/>
    </row>
    <row r="18" customFormat="false" ht="15" hidden="false" customHeight="false" outlineLevel="0" collapsed="false">
      <c r="A18" s="4" t="s">
        <v>351</v>
      </c>
      <c r="B18" s="20" t="n">
        <f aca="false">'Registro de resultados'!B75</f>
        <v>0</v>
      </c>
      <c r="C18" s="4" t="s">
        <v>336</v>
      </c>
    </row>
    <row r="19" customFormat="false" ht="15" hidden="false" customHeight="false" outlineLevel="0" collapsed="false">
      <c r="A19" s="4" t="s">
        <v>352</v>
      </c>
      <c r="B19" s="20" t="n">
        <f aca="false">'Registro de resultados'!B78</f>
        <v>0</v>
      </c>
      <c r="C19" s="4" t="s">
        <v>336</v>
      </c>
    </row>
    <row r="20" customFormat="false" ht="15" hidden="false" customHeight="false" outlineLevel="0" collapsed="false">
      <c r="A20" s="4" t="s">
        <v>353</v>
      </c>
      <c r="B20" s="20" t="n">
        <f aca="false">SUM('B Detalles'!M3:N14)</f>
        <v>0</v>
      </c>
      <c r="C20" s="4" t="s">
        <v>336</v>
      </c>
    </row>
    <row r="21" customFormat="false" ht="15" hidden="false" customHeight="false" outlineLevel="0" collapsed="false">
      <c r="A21" s="4" t="s">
        <v>354</v>
      </c>
      <c r="B21" s="21" t="n">
        <f aca="false">B18-B19</f>
        <v>0</v>
      </c>
      <c r="C21" s="4" t="s">
        <v>336</v>
      </c>
    </row>
    <row r="22" customFormat="false" ht="15" hidden="false" customHeight="false" outlineLevel="0" collapsed="false">
      <c r="A22" s="4" t="s">
        <v>355</v>
      </c>
      <c r="B22" s="21" t="n">
        <f aca="false">IF(B20=0,0,B21/B20)</f>
        <v>0</v>
      </c>
      <c r="C22" s="4" t="s">
        <v>336</v>
      </c>
    </row>
    <row r="23" customFormat="false" ht="15" hidden="false" customHeight="false" outlineLevel="0" collapsed="false">
      <c r="A23" s="4"/>
      <c r="B23" s="20"/>
      <c r="C23" s="4"/>
    </row>
    <row r="24" customFormat="false" ht="15" hidden="false" customHeight="false" outlineLevel="0" collapsed="false">
      <c r="A24" s="2" t="s">
        <v>356</v>
      </c>
      <c r="B24" s="20"/>
      <c r="C24" s="4"/>
    </row>
    <row r="25" customFormat="false" ht="15" hidden="false" customHeight="false" outlineLevel="0" collapsed="false">
      <c r="A25" s="4" t="s">
        <v>357</v>
      </c>
      <c r="B25" s="20" t="str">
        <f aca="false">'Registro de resultados'!B33</f>
        <v>Pendiente</v>
      </c>
      <c r="C25" s="4" t="s">
        <v>336</v>
      </c>
    </row>
    <row r="26" customFormat="false" ht="15" hidden="false" customHeight="false" outlineLevel="0" collapsed="false">
      <c r="A26" s="4" t="s">
        <v>358</v>
      </c>
      <c r="B26" s="20" t="str">
        <f aca="false">'Registro de resultados'!B81</f>
        <v>Pendiente</v>
      </c>
      <c r="C26" s="4" t="s">
        <v>336</v>
      </c>
    </row>
    <row r="27" customFormat="false" ht="15" hidden="false" customHeight="false" outlineLevel="0" collapsed="false">
      <c r="A27" s="4" t="s">
        <v>359</v>
      </c>
      <c r="B27" s="22" t="str">
        <f aca="false">IF(OR(B25="Pendiente",B26="Pendiente"),"Pendiente: faltan resultados",IF(AND(LEFT(B25,4)="PASA",LEFT(B26,4)="PASA"),IF(ABS(B15-B22)&lt;0.2*MAX(B15,B22),"A (chatbot): diferencia &lt; 20 %, gana la recurrencia",IF(B15&gt;B22,"A (chatbot): mayor margen por hora","B (detalles): mayor margen por hora")),IF(LEFT(B25,4)="PASA","A (chatbot): la única que pasó",IF(LEFT(B26,4)="PASA","B (detalles): la única que pasó","Ninguna pasó → volver a Fase 3 (incógnito o taller)"))))</f>
        <v>Pendiente: faltan resultados</v>
      </c>
      <c r="C27" s="4" t="s">
        <v>336</v>
      </c>
    </row>
    <row r="28" customFormat="false" ht="15" hidden="false" customHeight="false" outlineLevel="0" collapsed="false">
      <c r="A28" s="4" t="s">
        <v>360</v>
      </c>
      <c r="B28" s="23" t="n">
        <f aca="false">IF('Registro de resultados'!B75=0,0,SUMIFS('Registro de resultados'!D62:D73,'Registro de resultados'!E62:E73,"Sí",'Registro de resultados'!F62:F73,"Sí")/'Registro de resultados'!B75)</f>
        <v>0</v>
      </c>
      <c r="C28" s="4" t="s">
        <v>361</v>
      </c>
    </row>
    <row r="30" customFormat="false" ht="15" hidden="false" customHeight="false" outlineLevel="0" collapsed="false">
      <c r="A30" s="4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2026-10-23T00:15:57Z</dcterms:created>
  <dc:creator>openpyxl</dc:creator>
  <dc:description/>
  <dc:language>en-US</dc:language>
  <cp:lastModifiedBy/>
  <dcterms:modified xsi:type="dcterms:W3CDTF">2026-10-23T00:15:57Z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