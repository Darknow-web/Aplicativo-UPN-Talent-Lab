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Comparacion" sheetId="2" state="visible" r:id="rId2"/>
    <sheet xmlns:r="http://schemas.openxmlformats.org/officeDocument/2006/relationships" name="I1 Supuestos" sheetId="3" state="visible" r:id="rId3"/>
    <sheet xmlns:r="http://schemas.openxmlformats.org/officeDocument/2006/relationships" name="I1 Unitario" sheetId="4" state="visible" r:id="rId4"/>
    <sheet xmlns:r="http://schemas.openxmlformats.org/officeDocument/2006/relationships" name="I1 Flujo" sheetId="5" state="visible" r:id="rId5"/>
    <sheet xmlns:r="http://schemas.openxmlformats.org/officeDocument/2006/relationships" name="I1 Sensibilidad" sheetId="6" state="visible" r:id="rId6"/>
    <sheet xmlns:r="http://schemas.openxmlformats.org/officeDocument/2006/relationships" name="I2 Supuestos" sheetId="7" state="visible" r:id="rId7"/>
    <sheet xmlns:r="http://schemas.openxmlformats.org/officeDocument/2006/relationships" name="I2 Unitario" sheetId="8" state="visible" r:id="rId8"/>
    <sheet xmlns:r="http://schemas.openxmlformats.org/officeDocument/2006/relationships" name="I2 Flujo" sheetId="9" state="visible" r:id="rId9"/>
    <sheet xmlns:r="http://schemas.openxmlformats.org/officeDocument/2006/relationships" name="I2 Sensibilida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C00000"/>
      <sz val="13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horizontal="right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¡¡ VALORES DE EJEMPLO !! No describen ningún negocio real. Borrar antes del análisis real.</t>
        </is>
      </c>
    </row>
    <row r="2">
      <c r="A2" t="inlineStr">
        <is>
          <t>Modelo financiero — agencia de creación de negocios</t>
        </is>
      </c>
    </row>
    <row r="3">
      <c r="A3" t="inlineStr">
        <is>
          <t>Generado por finanzas/modelo.py --xlsx. Las celdas amarillas son entradas; el resto son fórmulas.</t>
        </is>
      </c>
    </row>
    <row r="4">
      <c r="A4" t="inlineStr">
        <is>
          <t>Para cambiar un supuesto, edite la celda amarilla en la hoja 'Supuestos' de la idea; todo se recalcula.</t>
        </is>
      </c>
    </row>
    <row r="5">
      <c r="A5" t="inlineStr">
        <is>
          <t>Etiquetas de origen: VERIFICADO: fuente, fecha · ESTIMADO: método · SUPUESTO: por validar · DESCONOCIDO.</t>
        </is>
      </c>
    </row>
    <row r="6">
      <c r="A6" t="inlineStr">
        <is>
          <t>Si cambia un valor aquí, replíquelo en modelo.py (o al revés) para que ambos coincidan.</t>
        </is>
      </c>
    </row>
    <row r="7">
      <c r="A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Comparación con el mismo método — escenario base</t>
        </is>
      </c>
    </row>
    <row r="2">
      <c r="A2" s="3" t="inlineStr">
        <is>
          <t>Idea</t>
        </is>
      </c>
      <c r="B2" s="3" t="inlineStr">
        <is>
          <t>Inversión inicial</t>
        </is>
      </c>
      <c r="C2" s="3" t="inlineStr">
        <is>
          <t>Margen por unidad</t>
        </is>
      </c>
      <c r="D2" s="3" t="inlineStr">
        <is>
          <t>Margen %</t>
        </is>
      </c>
      <c r="E2" s="3" t="inlineStr">
        <is>
          <t>Punto de equilibrio (u/mes)</t>
        </is>
      </c>
      <c r="F2" s="3" t="inlineStr">
        <is>
          <t>Recupera (mes)</t>
        </is>
      </c>
      <c r="G2" s="3" t="inlineStr">
        <is>
          <t>Resultado 12 m (base)</t>
        </is>
      </c>
      <c r="H2" s="3" t="inlineStr">
        <is>
          <t>Resultado 12 m (pesimista)</t>
        </is>
      </c>
      <c r="I2" s="3" t="inlineStr">
        <is>
          <t>Resultado 12 m (optimista)</t>
        </is>
      </c>
      <c r="J2" s="3" t="inlineStr">
        <is>
          <t>Horas/semana</t>
        </is>
      </c>
    </row>
    <row r="3">
      <c r="A3" s="4" t="inlineStr">
        <is>
          <t>EJEMPLO A — app por suscripción</t>
        </is>
      </c>
      <c r="B3" s="4">
        <f>'I1 Unitario'!$B$14</f>
        <v/>
      </c>
      <c r="C3" s="4">
        <f>'I1 Unitario'!$B$9</f>
        <v/>
      </c>
      <c r="D3" s="4">
        <f>'I1 Unitario'!$B$10</f>
        <v/>
      </c>
      <c r="E3" s="4">
        <f>'I1 Unitario'!$B$12</f>
        <v/>
      </c>
      <c r="F3" s="4">
        <f>'I1 Flujo'!$N$31</f>
        <v/>
      </c>
      <c r="G3" s="4">
        <f>'I1 Flujo'!$N$30</f>
        <v/>
      </c>
      <c r="H3" s="4">
        <f>'I1 Flujo'!$N$15</f>
        <v/>
      </c>
      <c r="I3" s="4">
        <f>'I1 Flujo'!$N$45</f>
        <v/>
      </c>
      <c r="J3" s="4">
        <f>'I1 Supuestos'!$B$10</f>
        <v/>
      </c>
    </row>
    <row r="4">
      <c r="A4" s="4" t="inlineStr">
        <is>
          <t>EJEMPLO B — producto físico</t>
        </is>
      </c>
      <c r="B4" s="4">
        <f>'I2 Unitario'!$B$14</f>
        <v/>
      </c>
      <c r="C4" s="4">
        <f>'I2 Unitario'!$B$9</f>
        <v/>
      </c>
      <c r="D4" s="4">
        <f>'I2 Unitario'!$B$10</f>
        <v/>
      </c>
      <c r="E4" s="4">
        <f>'I2 Unitario'!$B$12</f>
        <v/>
      </c>
      <c r="F4" s="4">
        <f>'I2 Flujo'!$N$31</f>
        <v/>
      </c>
      <c r="G4" s="4">
        <f>'I2 Flujo'!$N$30</f>
        <v/>
      </c>
      <c r="H4" s="4">
        <f>'I2 Flujo'!$N$15</f>
        <v/>
      </c>
      <c r="I4" s="4">
        <f>'I2 Flujo'!$N$45</f>
        <v/>
      </c>
      <c r="J4" s="4">
        <f>'I2 Supuestos'!$B$10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36" customWidth="1" min="3" max="3"/>
    <col width="40" customWidth="1" min="4" max="4"/>
    <col width="14" customWidth="1" min="5" max="5"/>
  </cols>
  <sheetData>
    <row r="1">
      <c r="A1" s="2" t="inlineStr">
        <is>
          <t>Idea: EJEMPLO A — app por suscripción</t>
        </is>
      </c>
    </row>
    <row r="2">
      <c r="A2" t="inlineStr">
        <is>
          <t>Unidad: una suscripción mensual</t>
        </is>
      </c>
    </row>
    <row r="3">
      <c r="A3" s="2" t="inlineStr">
        <is>
          <t>Concepto</t>
        </is>
      </c>
      <c r="B3" t="inlineStr">
        <is>
          <t>Valor</t>
        </is>
      </c>
      <c r="C3" t="inlineStr">
        <is>
          <t>Origen</t>
        </is>
      </c>
      <c r="D3" t="inlineStr">
        <is>
          <t>Nota</t>
        </is>
      </c>
    </row>
    <row r="4">
      <c r="A4" t="inlineStr">
        <is>
          <t>Precio de venta al cliente (S/)</t>
        </is>
      </c>
      <c r="B4" s="5" t="n">
        <v>29.9</v>
      </c>
      <c r="C4" t="inlineStr">
        <is>
          <t>EJEMPLO</t>
        </is>
      </c>
      <c r="D4" t="inlineStr">
        <is>
          <t>precio mensual con IGV incluido</t>
        </is>
      </c>
    </row>
    <row r="5">
      <c r="A5" t="inlineStr">
        <is>
          <t>¿Precio incluye IGV? (1 = sí, 0 = no)</t>
        </is>
      </c>
      <c r="B5" s="5" t="n">
        <v>1</v>
      </c>
      <c r="C5" t="inlineStr">
        <is>
          <t>regla</t>
        </is>
      </c>
      <c r="D5" t="inlineStr"/>
    </row>
    <row r="6">
      <c r="A6" t="inlineStr">
        <is>
          <t>Tasa IGV</t>
        </is>
      </c>
      <c r="B6" s="5" t="n">
        <v>0.18</v>
      </c>
      <c r="C6" t="inlineStr">
        <is>
          <t>EJEMPLO</t>
        </is>
      </c>
      <c r="D6" t="inlineStr">
        <is>
          <t>confirmar con asesor-legal-tributario-peru</t>
        </is>
      </c>
    </row>
    <row r="7">
      <c r="A7" t="inlineStr">
        <is>
          <t>Comisión pasarela (%)</t>
        </is>
      </c>
      <c r="B7" s="5" t="n">
        <v>0.0399</v>
      </c>
      <c r="C7" t="inlineStr">
        <is>
          <t>EJEMPLO</t>
        </is>
      </c>
      <c r="D7" t="inlineStr">
        <is>
          <t>comisión % de la pasarela; verificar tarifa real</t>
        </is>
      </c>
    </row>
    <row r="8">
      <c r="A8" t="inlineStr">
        <is>
          <t>Comisión pasarela fija por transacción (S/)</t>
        </is>
      </c>
      <c r="B8" s="5" t="n">
        <v>1</v>
      </c>
      <c r="C8" t="inlineStr">
        <is>
          <t>EJEMPLO</t>
        </is>
      </c>
      <c r="D8" t="inlineStr">
        <is>
          <t>S/ fijo por transacción; verificar tarifa real</t>
        </is>
      </c>
    </row>
    <row r="9">
      <c r="A9" t="inlineStr">
        <is>
          <t>Impuesto a la renta (% sobre ingreso neto)</t>
        </is>
      </c>
      <c r="B9" s="5" t="n">
        <v>0.015</v>
      </c>
      <c r="C9" t="inlineStr">
        <is>
          <t>EJEMPLO</t>
        </is>
      </c>
      <c r="D9" t="inlineStr">
        <is>
          <t>p. ej. RER 1,5 % del ingreso neto; lo define legal</t>
        </is>
      </c>
    </row>
    <row r="10">
      <c r="A10" t="inlineStr">
        <is>
          <t>Horas por semana requeridas</t>
        </is>
      </c>
      <c r="B10" s="5" t="n">
        <v>10</v>
      </c>
      <c r="C10" t="inlineStr">
        <is>
          <t>EJEMPLO</t>
        </is>
      </c>
      <c r="D10" t="inlineStr"/>
    </row>
    <row r="12">
      <c r="A12" s="2" t="inlineStr">
        <is>
          <t>Inversión inicial (S/)</t>
        </is>
      </c>
    </row>
    <row r="13">
      <c r="A13" t="inlineStr">
        <is>
          <t>diseño y marca</t>
        </is>
      </c>
      <c r="B13" s="5" t="n">
        <v>800</v>
      </c>
      <c r="C13" t="inlineStr">
        <is>
          <t>EJEMPLO</t>
        </is>
      </c>
      <c r="D13" t="inlineStr"/>
    </row>
    <row r="14">
      <c r="A14" t="inlineStr">
        <is>
          <t>cuenta de desarrollador / tienda de apps</t>
        </is>
      </c>
      <c r="B14" s="5" t="n">
        <v>400</v>
      </c>
      <c r="C14" t="inlineStr">
        <is>
          <t>EJEMPLO</t>
        </is>
      </c>
      <c r="D14" t="inlineStr"/>
    </row>
    <row r="15">
      <c r="A15" t="inlineStr">
        <is>
          <t>formalización (RUC, registro de marca)</t>
        </is>
      </c>
      <c r="B15" s="5" t="n">
        <v>600</v>
      </c>
      <c r="C15" t="inlineStr">
        <is>
          <t>EJEMPLO</t>
        </is>
      </c>
      <c r="D15" t="inlineStr"/>
    </row>
    <row r="16">
      <c r="A16" s="2" t="inlineStr">
        <is>
          <t>TOTAL inversión inicial (s/)</t>
        </is>
      </c>
      <c r="B16">
        <f>SUM(B13:B15)</f>
        <v/>
      </c>
      <c r="C16" t="inlineStr">
        <is>
          <t>fórmula</t>
        </is>
      </c>
      <c r="D16" t="inlineStr"/>
    </row>
    <row r="18">
      <c r="A18" s="2" t="inlineStr">
        <is>
          <t>Costos fijos mensuales (S/)</t>
        </is>
      </c>
    </row>
    <row r="19">
      <c r="A19" t="inlineStr">
        <is>
          <t>servidor y dominio</t>
        </is>
      </c>
      <c r="B19" s="5" t="n">
        <v>120</v>
      </c>
      <c r="C19" t="inlineStr">
        <is>
          <t>EJEMPLO</t>
        </is>
      </c>
      <c r="D19" t="inlineStr"/>
    </row>
    <row r="20">
      <c r="A20" t="inlineStr">
        <is>
          <t>herramientas (correo, analítica)</t>
        </is>
      </c>
      <c r="B20" s="5" t="n">
        <v>60</v>
      </c>
      <c r="C20" t="inlineStr">
        <is>
          <t>EJEMPLO</t>
        </is>
      </c>
      <c r="D20" t="inlineStr"/>
    </row>
    <row r="21">
      <c r="A21" t="inlineStr">
        <is>
          <t>contador</t>
        </is>
      </c>
      <c r="B21" s="5" t="n">
        <v>150</v>
      </c>
      <c r="C21" t="inlineStr">
        <is>
          <t>EJEMPLO</t>
        </is>
      </c>
      <c r="D21" t="inlineStr"/>
    </row>
    <row r="22">
      <c r="A22" s="2" t="inlineStr">
        <is>
          <t>TOTAL costos fijos mensuales (s/)</t>
        </is>
      </c>
      <c r="B22">
        <f>SUM(B19:B21)</f>
        <v/>
      </c>
      <c r="C22" t="inlineStr">
        <is>
          <t>fórmula</t>
        </is>
      </c>
      <c r="D22" t="inlineStr"/>
    </row>
    <row r="24">
      <c r="A24" s="2" t="inlineStr">
        <is>
          <t>Costo variable directo por unidad (S/)</t>
        </is>
      </c>
    </row>
    <row r="25">
      <c r="A25" t="inlineStr">
        <is>
          <t>IA / tokens por suscriptor</t>
        </is>
      </c>
      <c r="B25" s="5" t="n">
        <v>2.5</v>
      </c>
      <c r="C25" t="inlineStr">
        <is>
          <t>EJEMPLO</t>
        </is>
      </c>
      <c r="D25" t="inlineStr"/>
    </row>
    <row r="26">
      <c r="A26" t="inlineStr">
        <is>
          <t>soporte y almacenamiento por suscriptor</t>
        </is>
      </c>
      <c r="B26" s="5" t="n">
        <v>0.8</v>
      </c>
      <c r="C26" t="inlineStr">
        <is>
          <t>EJEMPLO</t>
        </is>
      </c>
      <c r="D26" t="inlineStr"/>
    </row>
    <row r="27">
      <c r="A27" s="2" t="inlineStr">
        <is>
          <t>TOTAL costo variable directo por unidad (s/)</t>
        </is>
      </c>
      <c r="B27">
        <f>SUM(B25:B26)</f>
        <v/>
      </c>
      <c r="C27" t="inlineStr">
        <is>
          <t>fórmula</t>
        </is>
      </c>
      <c r="D27" t="inlineStr"/>
    </row>
    <row r="29">
      <c r="A29" s="2" t="inlineStr">
        <is>
          <t>Escenarios</t>
        </is>
      </c>
    </row>
    <row r="30">
      <c r="A30" t="inlineStr">
        <is>
          <t>Escenario</t>
        </is>
      </c>
      <c r="B30" t="inlineStr">
        <is>
          <t>Unidades mes 1</t>
        </is>
      </c>
      <c r="C30" t="inlineStr">
        <is>
          <t>Crecimiento mensual</t>
        </is>
      </c>
      <c r="D30" t="inlineStr">
        <is>
          <t>Factor precio</t>
        </is>
      </c>
      <c r="E30" t="inlineStr">
        <is>
          <t>Origen</t>
        </is>
      </c>
    </row>
    <row r="31">
      <c r="A31" t="inlineStr">
        <is>
          <t>pesimista</t>
        </is>
      </c>
      <c r="B31" s="5" t="n">
        <v>20</v>
      </c>
      <c r="C31" s="5" t="n">
        <v>0.05</v>
      </c>
      <c r="D31" s="5" t="n">
        <v>1</v>
      </c>
      <c r="E31" t="inlineStr">
        <is>
          <t>EJEMPLO</t>
        </is>
      </c>
    </row>
    <row r="32">
      <c r="A32" t="inlineStr">
        <is>
          <t>base</t>
        </is>
      </c>
      <c r="B32" s="5" t="n">
        <v>40</v>
      </c>
      <c r="C32" s="5" t="n">
        <v>0.12</v>
      </c>
      <c r="D32" s="5" t="n">
        <v>1</v>
      </c>
      <c r="E32" t="inlineStr">
        <is>
          <t>EJEMPLO</t>
        </is>
      </c>
    </row>
    <row r="33">
      <c r="A33" t="inlineStr">
        <is>
          <t>optimista</t>
        </is>
      </c>
      <c r="B33" s="5" t="n">
        <v>70</v>
      </c>
      <c r="C33" s="5" t="n">
        <v>0.2</v>
      </c>
      <c r="D33" s="5" t="n">
        <v>1</v>
      </c>
      <c r="E33" t="inlineStr">
        <is>
          <t>EJEMPLO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70" customWidth="1" min="3" max="3"/>
  </cols>
  <sheetData>
    <row r="1">
      <c r="A1" s="2" t="inlineStr">
        <is>
          <t>Economía unitaria — EJEMPLO A — app por suscripción (precio de lista)</t>
        </is>
      </c>
    </row>
    <row r="2">
      <c r="A2" t="inlineStr">
        <is>
          <t>Concepto</t>
        </is>
      </c>
      <c r="B2" t="inlineStr">
        <is>
          <t>S/</t>
        </is>
      </c>
      <c r="C2" t="inlineStr">
        <is>
          <t>Fórmula</t>
        </is>
      </c>
    </row>
    <row r="3">
      <c r="A3" t="inlineStr">
        <is>
          <t>Precio al cliente</t>
        </is>
      </c>
      <c r="B3">
        <f>'I1 Supuestos'!$B$4</f>
        <v/>
      </c>
      <c r="C3" t="inlineStr">
        <is>
          <t>'='I1 Supuestos'!$B$4</t>
        </is>
      </c>
    </row>
    <row r="4">
      <c r="A4" t="inlineStr">
        <is>
          <t>Ingreso neto (sin IGV)</t>
        </is>
      </c>
      <c r="B4">
        <f>IF('I1 Supuestos'!$B$5=1,'I1 Unitario'!$B$3/(1+'I1 Supuestos'!$B$6),'I1 Unitario'!$B$3)</f>
        <v/>
      </c>
      <c r="C4" t="inlineStr">
        <is>
          <t>'=IF('I1 Supuestos'!$B$5=1,'I1 Unitario'!$B$3/(1+'I1 Supuestos'!$B$6),'I1 Unitario'!$B$3)</t>
        </is>
      </c>
    </row>
    <row r="5">
      <c r="A5" t="inlineStr">
        <is>
          <t>Comisión pasarela</t>
        </is>
      </c>
      <c r="B5">
        <f>'I1 Unitario'!$B$3*'I1 Supuestos'!$B$7+'I1 Supuestos'!$B$8</f>
        <v/>
      </c>
      <c r="C5" t="inlineStr">
        <is>
          <t>'='I1 Unitario'!$B$3*'I1 Supuestos'!$B$7+'I1 Supuestos'!$B$8</t>
        </is>
      </c>
    </row>
    <row r="6">
      <c r="A6" t="inlineStr">
        <is>
          <t>Impuesto a la renta</t>
        </is>
      </c>
      <c r="B6">
        <f>'I1 Unitario'!$B$4*'I1 Supuestos'!$B$9</f>
        <v/>
      </c>
      <c r="C6" t="inlineStr">
        <is>
          <t>'='I1 Unitario'!$B$4*'I1 Supuestos'!$B$9</t>
        </is>
      </c>
    </row>
    <row r="7">
      <c r="A7" t="inlineStr">
        <is>
          <t>Costo variable directo</t>
        </is>
      </c>
      <c r="B7">
        <f>'I1 Supuestos'!$B$27</f>
        <v/>
      </c>
      <c r="C7" t="inlineStr">
        <is>
          <t>'='I1 Supuestos'!$B$27</t>
        </is>
      </c>
    </row>
    <row r="8">
      <c r="A8" t="inlineStr">
        <is>
          <t>Costo variable total</t>
        </is>
      </c>
      <c r="B8">
        <f>'I1 Unitario'!$B$7+'I1 Unitario'!$B$5+'I1 Unitario'!$B$6</f>
        <v/>
      </c>
      <c r="C8" t="inlineStr">
        <is>
          <t>'='I1 Unitario'!$B$7+'I1 Unitario'!$B$5+'I1 Unitario'!$B$6</t>
        </is>
      </c>
    </row>
    <row r="9">
      <c r="A9" t="inlineStr">
        <is>
          <t>Margen por unidad</t>
        </is>
      </c>
      <c r="B9">
        <f>'I1 Unitario'!$B$4-'I1 Unitario'!$B$8</f>
        <v/>
      </c>
      <c r="C9" t="inlineStr">
        <is>
          <t>'='I1 Unitario'!$B$4-'I1 Unitario'!$B$8</t>
        </is>
      </c>
    </row>
    <row r="10">
      <c r="A10" t="inlineStr">
        <is>
          <t>Margen % sobre ingreso neto</t>
        </is>
      </c>
      <c r="B10">
        <f>IF('I1 Unitario'!$B$4=0,0,'I1 Unitario'!$B$9/'I1 Unitario'!$B$4)</f>
        <v/>
      </c>
      <c r="C10" t="inlineStr">
        <is>
          <t>'=IF('I1 Unitario'!$B$4=0,0,'I1 Unitario'!$B$9/'I1 Unitario'!$B$4)</t>
        </is>
      </c>
    </row>
    <row r="11">
      <c r="A11" t="inlineStr">
        <is>
          <t>Costos fijos mensuales</t>
        </is>
      </c>
      <c r="B11">
        <f>'I1 Supuestos'!$B$22</f>
        <v/>
      </c>
      <c r="C11" t="inlineStr">
        <is>
          <t>'='I1 Supuestos'!$B$22</t>
        </is>
      </c>
    </row>
    <row r="12">
      <c r="A12" t="inlineStr">
        <is>
          <t>Punto de equilibrio (unidades/mes)</t>
        </is>
      </c>
      <c r="B12">
        <f>IF('I1 Unitario'!$B$9&gt;0,'I1 Unitario'!$B$11/'I1 Unitario'!$B$9,"no alcanzable")</f>
        <v/>
      </c>
      <c r="C12" t="inlineStr">
        <is>
          <t>'=IF('I1 Unitario'!$B$9&gt;0,'I1 Unitario'!$B$11/'I1 Unitario'!$B$9,"no alcanzable")</t>
        </is>
      </c>
    </row>
    <row r="13">
      <c r="A13" t="inlineStr">
        <is>
          <t>Punto de equilibrio (S/ ventas/mes)</t>
        </is>
      </c>
      <c r="B13">
        <f>IF(ISNUMBER('I1 Unitario'!$B$12),'I1 Unitario'!$B$12*'I1 Unitario'!$B$3,"no alcanzable")</f>
        <v/>
      </c>
      <c r="C13" t="inlineStr">
        <is>
          <t>'=IF(ISNUMBER('I1 Unitario'!$B$12),'I1 Unitario'!$B$12*'I1 Unitario'!$B$3,"no alcanzable")</t>
        </is>
      </c>
    </row>
    <row r="14">
      <c r="A14" t="inlineStr">
        <is>
          <t>Inversión inicial</t>
        </is>
      </c>
      <c r="B14">
        <f>'I1 Supuestos'!$B$16</f>
        <v/>
      </c>
      <c r="C14" t="inlineStr">
        <is>
          <t>'='I1 Supuestos'!$B$16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" t="inlineStr">
        <is>
          <t>Flujo de caja a 12 meses — EJEMPLO A — app por suscripción. Escenarios, no predicciones.</t>
        </is>
      </c>
    </row>
    <row r="3">
      <c r="A3" s="2" t="inlineStr">
        <is>
          <t>Escenario pesimista</t>
        </is>
      </c>
    </row>
    <row r="4">
      <c r="A4" t="inlineStr">
        <is>
          <t>Precio escenario</t>
        </is>
      </c>
      <c r="B4">
        <f>'I1 Supuestos'!$B$4*'I1 Supuestos'!$D$31</f>
        <v/>
      </c>
    </row>
    <row r="5">
      <c r="A5" t="inlineStr">
        <is>
          <t>Ingreso neto unitario</t>
        </is>
      </c>
      <c r="B5">
        <f>IF('I1 Supuestos'!$B$5=1,B4/(1+'I1 Supuestos'!$B$6),B4)</f>
        <v/>
      </c>
    </row>
    <row r="6">
      <c r="A6" t="inlineStr">
        <is>
          <t>Costo variable total unitario</t>
        </is>
      </c>
      <c r="B6">
        <f>'I1 Supuestos'!$B$27+B4*'I1 Supuestos'!$B$7+'I1 Supuestos'!$B$8+B5*'I1 Supuestos'!$B$9</f>
        <v/>
      </c>
    </row>
    <row r="7">
      <c r="A7" t="inlineStr">
        <is>
          <t>Costos fijos mensuales</t>
        </is>
      </c>
      <c r="B7">
        <f>'I1 Supuestos'!$B$22</f>
        <v/>
      </c>
    </row>
    <row r="8">
      <c r="A8" t="inlineStr">
        <is>
          <t>Inversión inicial</t>
        </is>
      </c>
      <c r="B8">
        <f>'I1 Supuestos'!$B$16</f>
        <v/>
      </c>
    </row>
    <row r="9">
      <c r="A9" s="3" t="inlineStr">
        <is>
          <t>Mes</t>
        </is>
      </c>
      <c r="B9" s="3" t="n">
        <v>1</v>
      </c>
      <c r="C9" s="3" t="n">
        <v>2</v>
      </c>
      <c r="D9" s="3" t="n">
        <v>3</v>
      </c>
      <c r="E9" s="3" t="n">
        <v>4</v>
      </c>
      <c r="F9" s="3" t="n">
        <v>5</v>
      </c>
      <c r="G9" s="3" t="n">
        <v>6</v>
      </c>
      <c r="H9" s="3" t="n">
        <v>7</v>
      </c>
      <c r="I9" s="3" t="n">
        <v>8</v>
      </c>
      <c r="J9" s="3" t="n">
        <v>9</v>
      </c>
      <c r="K9" s="3" t="n">
        <v>10</v>
      </c>
      <c r="L9" s="3" t="n">
        <v>11</v>
      </c>
      <c r="M9" s="3" t="n">
        <v>12</v>
      </c>
      <c r="N9" s="3" t="inlineStr">
        <is>
          <t>Total 12 m</t>
        </is>
      </c>
    </row>
    <row r="10">
      <c r="A10" t="inlineStr">
        <is>
          <t>Unidades</t>
        </is>
      </c>
      <c r="B10">
        <f>'I1 Supuestos'!$B$31*(1+'I1 Supuestos'!$C$31)^(1-1)</f>
        <v/>
      </c>
      <c r="C10">
        <f>'I1 Supuestos'!$B$31*(1+'I1 Supuestos'!$C$31)^(2-1)</f>
        <v/>
      </c>
      <c r="D10">
        <f>'I1 Supuestos'!$B$31*(1+'I1 Supuestos'!$C$31)^(3-1)</f>
        <v/>
      </c>
      <c r="E10">
        <f>'I1 Supuestos'!$B$31*(1+'I1 Supuestos'!$C$31)^(4-1)</f>
        <v/>
      </c>
      <c r="F10">
        <f>'I1 Supuestos'!$B$31*(1+'I1 Supuestos'!$C$31)^(5-1)</f>
        <v/>
      </c>
      <c r="G10">
        <f>'I1 Supuestos'!$B$31*(1+'I1 Supuestos'!$C$31)^(6-1)</f>
        <v/>
      </c>
      <c r="H10">
        <f>'I1 Supuestos'!$B$31*(1+'I1 Supuestos'!$C$31)^(7-1)</f>
        <v/>
      </c>
      <c r="I10">
        <f>'I1 Supuestos'!$B$31*(1+'I1 Supuestos'!$C$31)^(8-1)</f>
        <v/>
      </c>
      <c r="J10">
        <f>'I1 Supuestos'!$B$31*(1+'I1 Supuestos'!$C$31)^(9-1)</f>
        <v/>
      </c>
      <c r="K10">
        <f>'I1 Supuestos'!$B$31*(1+'I1 Supuestos'!$C$31)^(10-1)</f>
        <v/>
      </c>
      <c r="L10">
        <f>'I1 Supuestos'!$B$31*(1+'I1 Supuestos'!$C$31)^(11-1)</f>
        <v/>
      </c>
      <c r="M10">
        <f>'I1 Supuestos'!$B$31*(1+'I1 Supuestos'!$C$31)^(12-1)</f>
        <v/>
      </c>
      <c r="N10">
        <f>SUM(B10:M10)</f>
        <v/>
      </c>
    </row>
    <row r="11">
      <c r="A11" t="inlineStr">
        <is>
          <t>Ingresos netos</t>
        </is>
      </c>
      <c r="B11">
        <f>B10*$B$5</f>
        <v/>
      </c>
      <c r="C11">
        <f>C10*$B$5</f>
        <v/>
      </c>
      <c r="D11">
        <f>D10*$B$5</f>
        <v/>
      </c>
      <c r="E11">
        <f>E10*$B$5</f>
        <v/>
      </c>
      <c r="F11">
        <f>F10*$B$5</f>
        <v/>
      </c>
      <c r="G11">
        <f>G10*$B$5</f>
        <v/>
      </c>
      <c r="H11">
        <f>H10*$B$5</f>
        <v/>
      </c>
      <c r="I11">
        <f>I10*$B$5</f>
        <v/>
      </c>
      <c r="J11">
        <f>J10*$B$5</f>
        <v/>
      </c>
      <c r="K11">
        <f>K10*$B$5</f>
        <v/>
      </c>
      <c r="L11">
        <f>L10*$B$5</f>
        <v/>
      </c>
      <c r="M11">
        <f>M10*$B$5</f>
        <v/>
      </c>
      <c r="N11">
        <f>SUM(B11:M11)</f>
        <v/>
      </c>
    </row>
    <row r="12">
      <c r="A12" t="inlineStr">
        <is>
          <t>Costos variables</t>
        </is>
      </c>
      <c r="B12">
        <f>B10*$B$6</f>
        <v/>
      </c>
      <c r="C12">
        <f>C10*$B$6</f>
        <v/>
      </c>
      <c r="D12">
        <f>D10*$B$6</f>
        <v/>
      </c>
      <c r="E12">
        <f>E10*$B$6</f>
        <v/>
      </c>
      <c r="F12">
        <f>F10*$B$6</f>
        <v/>
      </c>
      <c r="G12">
        <f>G10*$B$6</f>
        <v/>
      </c>
      <c r="H12">
        <f>H10*$B$6</f>
        <v/>
      </c>
      <c r="I12">
        <f>I10*$B$6</f>
        <v/>
      </c>
      <c r="J12">
        <f>J10*$B$6</f>
        <v/>
      </c>
      <c r="K12">
        <f>K10*$B$6</f>
        <v/>
      </c>
      <c r="L12">
        <f>L10*$B$6</f>
        <v/>
      </c>
      <c r="M12">
        <f>M10*$B$6</f>
        <v/>
      </c>
      <c r="N12">
        <f>SUM(B12:M12)</f>
        <v/>
      </c>
    </row>
    <row r="13">
      <c r="A13" t="inlineStr">
        <is>
          <t>Costos fijos</t>
        </is>
      </c>
      <c r="B13">
        <f>$B$7</f>
        <v/>
      </c>
      <c r="C13">
        <f>$B$7</f>
        <v/>
      </c>
      <c r="D13">
        <f>$B$7</f>
        <v/>
      </c>
      <c r="E13">
        <f>$B$7</f>
        <v/>
      </c>
      <c r="F13">
        <f>$B$7</f>
        <v/>
      </c>
      <c r="G13">
        <f>$B$7</f>
        <v/>
      </c>
      <c r="H13">
        <f>$B$7</f>
        <v/>
      </c>
      <c r="I13">
        <f>$B$7</f>
        <v/>
      </c>
      <c r="J13">
        <f>$B$7</f>
        <v/>
      </c>
      <c r="K13">
        <f>$B$7</f>
        <v/>
      </c>
      <c r="L13">
        <f>$B$7</f>
        <v/>
      </c>
      <c r="M13">
        <f>$B$7</f>
        <v/>
      </c>
      <c r="N13">
        <f>SUM(B13:M13)</f>
        <v/>
      </c>
    </row>
    <row r="14">
      <c r="A14" t="inlineStr">
        <is>
          <t>Flujo neto</t>
        </is>
      </c>
      <c r="B14">
        <f>B11-B12-B13</f>
        <v/>
      </c>
      <c r="C14">
        <f>C11-C12-C13</f>
        <v/>
      </c>
      <c r="D14">
        <f>D11-D12-D13</f>
        <v/>
      </c>
      <c r="E14">
        <f>E11-E12-E13</f>
        <v/>
      </c>
      <c r="F14">
        <f>F11-F12-F13</f>
        <v/>
      </c>
      <c r="G14">
        <f>G11-G12-G13</f>
        <v/>
      </c>
      <c r="H14">
        <f>H11-H12-H13</f>
        <v/>
      </c>
      <c r="I14">
        <f>I11-I12-I13</f>
        <v/>
      </c>
      <c r="J14">
        <f>J11-J12-J13</f>
        <v/>
      </c>
      <c r="K14">
        <f>K11-K12-K13</f>
        <v/>
      </c>
      <c r="L14">
        <f>L11-L12-L13</f>
        <v/>
      </c>
      <c r="M14">
        <f>M11-M12-M13</f>
        <v/>
      </c>
      <c r="N14">
        <f>SUM(B14:M14)</f>
        <v/>
      </c>
    </row>
    <row r="15">
      <c r="A15" t="inlineStr">
        <is>
          <t>Acumulado (tras inversión)</t>
        </is>
      </c>
      <c r="B15">
        <f>-$B$8+B14</f>
        <v/>
      </c>
      <c r="C15">
        <f>B15+C14</f>
        <v/>
      </c>
      <c r="D15">
        <f>C15+D14</f>
        <v/>
      </c>
      <c r="E15">
        <f>D15+E14</f>
        <v/>
      </c>
      <c r="F15">
        <f>E15+F14</f>
        <v/>
      </c>
      <c r="G15">
        <f>F15+G14</f>
        <v/>
      </c>
      <c r="H15">
        <f>G15+H14</f>
        <v/>
      </c>
      <c r="I15">
        <f>H15+I14</f>
        <v/>
      </c>
      <c r="J15">
        <f>I15+J14</f>
        <v/>
      </c>
      <c r="K15">
        <f>J15+K14</f>
        <v/>
      </c>
      <c r="L15">
        <f>K15+L14</f>
        <v/>
      </c>
      <c r="M15">
        <f>L15+M14</f>
        <v/>
      </c>
      <c r="N15" s="2">
        <f>M15</f>
        <v/>
      </c>
    </row>
    <row r="16">
      <c r="A16" t="inlineStr">
        <is>
          <t>Mes en que acumulado ≥ 0</t>
        </is>
      </c>
      <c r="B16">
        <f>IF(B15&gt;=0,1,"")</f>
        <v/>
      </c>
      <c r="C16">
        <f>IF(C15&gt;=0,2,"")</f>
        <v/>
      </c>
      <c r="D16">
        <f>IF(D15&gt;=0,3,"")</f>
        <v/>
      </c>
      <c r="E16">
        <f>IF(E15&gt;=0,4,"")</f>
        <v/>
      </c>
      <c r="F16">
        <f>IF(F15&gt;=0,5,"")</f>
        <v/>
      </c>
      <c r="G16">
        <f>IF(G15&gt;=0,6,"")</f>
        <v/>
      </c>
      <c r="H16">
        <f>IF(H15&gt;=0,7,"")</f>
        <v/>
      </c>
      <c r="I16">
        <f>IF(I15&gt;=0,8,"")</f>
        <v/>
      </c>
      <c r="J16">
        <f>IF(J15&gt;=0,9,"")</f>
        <v/>
      </c>
      <c r="K16">
        <f>IF(K15&gt;=0,10,"")</f>
        <v/>
      </c>
      <c r="L16">
        <f>IF(L15&gt;=0,11,"")</f>
        <v/>
      </c>
      <c r="M16">
        <f>IF(M15&gt;=0,12,"")</f>
        <v/>
      </c>
      <c r="N16" s="2">
        <f>IF(COUNT(B16:M16)=0,"no en 12 meses",MIN(B16:M16))</f>
        <v/>
      </c>
    </row>
    <row r="18">
      <c r="A18" s="2" t="inlineStr">
        <is>
          <t>Escenario base</t>
        </is>
      </c>
    </row>
    <row r="19">
      <c r="A19" t="inlineStr">
        <is>
          <t>Precio escenario</t>
        </is>
      </c>
      <c r="B19">
        <f>'I1 Supuestos'!$B$4*'I1 Supuestos'!$D$32</f>
        <v/>
      </c>
    </row>
    <row r="20">
      <c r="A20" t="inlineStr">
        <is>
          <t>Ingreso neto unitario</t>
        </is>
      </c>
      <c r="B20">
        <f>IF('I1 Supuestos'!$B$5=1,B19/(1+'I1 Supuestos'!$B$6),B19)</f>
        <v/>
      </c>
    </row>
    <row r="21">
      <c r="A21" t="inlineStr">
        <is>
          <t>Costo variable total unitario</t>
        </is>
      </c>
      <c r="B21">
        <f>'I1 Supuestos'!$B$27+B19*'I1 Supuestos'!$B$7+'I1 Supuestos'!$B$8+B20*'I1 Supuestos'!$B$9</f>
        <v/>
      </c>
    </row>
    <row r="22">
      <c r="A22" t="inlineStr">
        <is>
          <t>Costos fijos mensuales</t>
        </is>
      </c>
      <c r="B22">
        <f>'I1 Supuestos'!$B$22</f>
        <v/>
      </c>
    </row>
    <row r="23">
      <c r="A23" t="inlineStr">
        <is>
          <t>Inversión inicial</t>
        </is>
      </c>
      <c r="B23">
        <f>'I1 Supuestos'!$B$16</f>
        <v/>
      </c>
    </row>
    <row r="24">
      <c r="A24" s="3" t="inlineStr">
        <is>
          <t>Mes</t>
        </is>
      </c>
      <c r="B24" s="3" t="n">
        <v>1</v>
      </c>
      <c r="C24" s="3" t="n">
        <v>2</v>
      </c>
      <c r="D24" s="3" t="n">
        <v>3</v>
      </c>
      <c r="E24" s="3" t="n">
        <v>4</v>
      </c>
      <c r="F24" s="3" t="n">
        <v>5</v>
      </c>
      <c r="G24" s="3" t="n">
        <v>6</v>
      </c>
      <c r="H24" s="3" t="n">
        <v>7</v>
      </c>
      <c r="I24" s="3" t="n">
        <v>8</v>
      </c>
      <c r="J24" s="3" t="n">
        <v>9</v>
      </c>
      <c r="K24" s="3" t="n">
        <v>10</v>
      </c>
      <c r="L24" s="3" t="n">
        <v>11</v>
      </c>
      <c r="M24" s="3" t="n">
        <v>12</v>
      </c>
      <c r="N24" s="3" t="inlineStr">
        <is>
          <t>Total 12 m</t>
        </is>
      </c>
    </row>
    <row r="25">
      <c r="A25" t="inlineStr">
        <is>
          <t>Unidades</t>
        </is>
      </c>
      <c r="B25">
        <f>'I1 Supuestos'!$B$32*(1+'I1 Supuestos'!$C$32)^(1-1)</f>
        <v/>
      </c>
      <c r="C25">
        <f>'I1 Supuestos'!$B$32*(1+'I1 Supuestos'!$C$32)^(2-1)</f>
        <v/>
      </c>
      <c r="D25">
        <f>'I1 Supuestos'!$B$32*(1+'I1 Supuestos'!$C$32)^(3-1)</f>
        <v/>
      </c>
      <c r="E25">
        <f>'I1 Supuestos'!$B$32*(1+'I1 Supuestos'!$C$32)^(4-1)</f>
        <v/>
      </c>
      <c r="F25">
        <f>'I1 Supuestos'!$B$32*(1+'I1 Supuestos'!$C$32)^(5-1)</f>
        <v/>
      </c>
      <c r="G25">
        <f>'I1 Supuestos'!$B$32*(1+'I1 Supuestos'!$C$32)^(6-1)</f>
        <v/>
      </c>
      <c r="H25">
        <f>'I1 Supuestos'!$B$32*(1+'I1 Supuestos'!$C$32)^(7-1)</f>
        <v/>
      </c>
      <c r="I25">
        <f>'I1 Supuestos'!$B$32*(1+'I1 Supuestos'!$C$32)^(8-1)</f>
        <v/>
      </c>
      <c r="J25">
        <f>'I1 Supuestos'!$B$32*(1+'I1 Supuestos'!$C$32)^(9-1)</f>
        <v/>
      </c>
      <c r="K25">
        <f>'I1 Supuestos'!$B$32*(1+'I1 Supuestos'!$C$32)^(10-1)</f>
        <v/>
      </c>
      <c r="L25">
        <f>'I1 Supuestos'!$B$32*(1+'I1 Supuestos'!$C$32)^(11-1)</f>
        <v/>
      </c>
      <c r="M25">
        <f>'I1 Supuestos'!$B$32*(1+'I1 Supuestos'!$C$32)^(12-1)</f>
        <v/>
      </c>
      <c r="N25">
        <f>SUM(B25:M25)</f>
        <v/>
      </c>
    </row>
    <row r="26">
      <c r="A26" t="inlineStr">
        <is>
          <t>Ingresos netos</t>
        </is>
      </c>
      <c r="B26">
        <f>B25*$B$20</f>
        <v/>
      </c>
      <c r="C26">
        <f>C25*$B$20</f>
        <v/>
      </c>
      <c r="D26">
        <f>D25*$B$20</f>
        <v/>
      </c>
      <c r="E26">
        <f>E25*$B$20</f>
        <v/>
      </c>
      <c r="F26">
        <f>F25*$B$20</f>
        <v/>
      </c>
      <c r="G26">
        <f>G25*$B$20</f>
        <v/>
      </c>
      <c r="H26">
        <f>H25*$B$20</f>
        <v/>
      </c>
      <c r="I26">
        <f>I25*$B$20</f>
        <v/>
      </c>
      <c r="J26">
        <f>J25*$B$20</f>
        <v/>
      </c>
      <c r="K26">
        <f>K25*$B$20</f>
        <v/>
      </c>
      <c r="L26">
        <f>L25*$B$20</f>
        <v/>
      </c>
      <c r="M26">
        <f>M25*$B$20</f>
        <v/>
      </c>
      <c r="N26">
        <f>SUM(B26:M26)</f>
        <v/>
      </c>
    </row>
    <row r="27">
      <c r="A27" t="inlineStr">
        <is>
          <t>Costos variables</t>
        </is>
      </c>
      <c r="B27">
        <f>B25*$B$21</f>
        <v/>
      </c>
      <c r="C27">
        <f>C25*$B$21</f>
        <v/>
      </c>
      <c r="D27">
        <f>D25*$B$21</f>
        <v/>
      </c>
      <c r="E27">
        <f>E25*$B$21</f>
        <v/>
      </c>
      <c r="F27">
        <f>F25*$B$21</f>
        <v/>
      </c>
      <c r="G27">
        <f>G25*$B$21</f>
        <v/>
      </c>
      <c r="H27">
        <f>H25*$B$21</f>
        <v/>
      </c>
      <c r="I27">
        <f>I25*$B$21</f>
        <v/>
      </c>
      <c r="J27">
        <f>J25*$B$21</f>
        <v/>
      </c>
      <c r="K27">
        <f>K25*$B$21</f>
        <v/>
      </c>
      <c r="L27">
        <f>L25*$B$21</f>
        <v/>
      </c>
      <c r="M27">
        <f>M25*$B$21</f>
        <v/>
      </c>
      <c r="N27">
        <f>SUM(B27:M27)</f>
        <v/>
      </c>
    </row>
    <row r="28">
      <c r="A28" t="inlineStr">
        <is>
          <t>Costos fijos</t>
        </is>
      </c>
      <c r="B28">
        <f>$B$22</f>
        <v/>
      </c>
      <c r="C28">
        <f>$B$22</f>
        <v/>
      </c>
      <c r="D28">
        <f>$B$22</f>
        <v/>
      </c>
      <c r="E28">
        <f>$B$22</f>
        <v/>
      </c>
      <c r="F28">
        <f>$B$22</f>
        <v/>
      </c>
      <c r="G28">
        <f>$B$22</f>
        <v/>
      </c>
      <c r="H28">
        <f>$B$22</f>
        <v/>
      </c>
      <c r="I28">
        <f>$B$22</f>
        <v/>
      </c>
      <c r="J28">
        <f>$B$22</f>
        <v/>
      </c>
      <c r="K28">
        <f>$B$22</f>
        <v/>
      </c>
      <c r="L28">
        <f>$B$22</f>
        <v/>
      </c>
      <c r="M28">
        <f>$B$22</f>
        <v/>
      </c>
      <c r="N28">
        <f>SUM(B28:M28)</f>
        <v/>
      </c>
    </row>
    <row r="29">
      <c r="A29" t="inlineStr">
        <is>
          <t>Flujo neto</t>
        </is>
      </c>
      <c r="B29">
        <f>B26-B27-B28</f>
        <v/>
      </c>
      <c r="C29">
        <f>C26-C27-C28</f>
        <v/>
      </c>
      <c r="D29">
        <f>D26-D27-D28</f>
        <v/>
      </c>
      <c r="E29">
        <f>E26-E27-E28</f>
        <v/>
      </c>
      <c r="F29">
        <f>F26-F27-F28</f>
        <v/>
      </c>
      <c r="G29">
        <f>G26-G27-G28</f>
        <v/>
      </c>
      <c r="H29">
        <f>H26-H27-H28</f>
        <v/>
      </c>
      <c r="I29">
        <f>I26-I27-I28</f>
        <v/>
      </c>
      <c r="J29">
        <f>J26-J27-J28</f>
        <v/>
      </c>
      <c r="K29">
        <f>K26-K27-K28</f>
        <v/>
      </c>
      <c r="L29">
        <f>L26-L27-L28</f>
        <v/>
      </c>
      <c r="M29">
        <f>M26-M27-M28</f>
        <v/>
      </c>
      <c r="N29">
        <f>SUM(B29:M29)</f>
        <v/>
      </c>
    </row>
    <row r="30">
      <c r="A30" t="inlineStr">
        <is>
          <t>Acumulado (tras inversión)</t>
        </is>
      </c>
      <c r="B30">
        <f>-$B$23+B29</f>
        <v/>
      </c>
      <c r="C30">
        <f>B30+C29</f>
        <v/>
      </c>
      <c r="D30">
        <f>C30+D29</f>
        <v/>
      </c>
      <c r="E30">
        <f>D30+E29</f>
        <v/>
      </c>
      <c r="F30">
        <f>E30+F29</f>
        <v/>
      </c>
      <c r="G30">
        <f>F30+G29</f>
        <v/>
      </c>
      <c r="H30">
        <f>G30+H29</f>
        <v/>
      </c>
      <c r="I30">
        <f>H30+I29</f>
        <v/>
      </c>
      <c r="J30">
        <f>I30+J29</f>
        <v/>
      </c>
      <c r="K30">
        <f>J30+K29</f>
        <v/>
      </c>
      <c r="L30">
        <f>K30+L29</f>
        <v/>
      </c>
      <c r="M30">
        <f>L30+M29</f>
        <v/>
      </c>
      <c r="N30" s="2">
        <f>M30</f>
        <v/>
      </c>
    </row>
    <row r="31">
      <c r="A31" t="inlineStr">
        <is>
          <t>Mes en que acumulado ≥ 0</t>
        </is>
      </c>
      <c r="B31">
        <f>IF(B30&gt;=0,1,"")</f>
        <v/>
      </c>
      <c r="C31">
        <f>IF(C30&gt;=0,2,"")</f>
        <v/>
      </c>
      <c r="D31">
        <f>IF(D30&gt;=0,3,"")</f>
        <v/>
      </c>
      <c r="E31">
        <f>IF(E30&gt;=0,4,"")</f>
        <v/>
      </c>
      <c r="F31">
        <f>IF(F30&gt;=0,5,"")</f>
        <v/>
      </c>
      <c r="G31">
        <f>IF(G30&gt;=0,6,"")</f>
        <v/>
      </c>
      <c r="H31">
        <f>IF(H30&gt;=0,7,"")</f>
        <v/>
      </c>
      <c r="I31">
        <f>IF(I30&gt;=0,8,"")</f>
        <v/>
      </c>
      <c r="J31">
        <f>IF(J30&gt;=0,9,"")</f>
        <v/>
      </c>
      <c r="K31">
        <f>IF(K30&gt;=0,10,"")</f>
        <v/>
      </c>
      <c r="L31">
        <f>IF(L30&gt;=0,11,"")</f>
        <v/>
      </c>
      <c r="M31">
        <f>IF(M30&gt;=0,12,"")</f>
        <v/>
      </c>
      <c r="N31" s="2">
        <f>IF(COUNT(B31:M31)=0,"no en 12 meses",MIN(B31:M31))</f>
        <v/>
      </c>
    </row>
    <row r="33">
      <c r="A33" s="2" t="inlineStr">
        <is>
          <t>Escenario optimista</t>
        </is>
      </c>
    </row>
    <row r="34">
      <c r="A34" t="inlineStr">
        <is>
          <t>Precio escenario</t>
        </is>
      </c>
      <c r="B34">
        <f>'I1 Supuestos'!$B$4*'I1 Supuestos'!$D$33</f>
        <v/>
      </c>
    </row>
    <row r="35">
      <c r="A35" t="inlineStr">
        <is>
          <t>Ingreso neto unitario</t>
        </is>
      </c>
      <c r="B35">
        <f>IF('I1 Supuestos'!$B$5=1,B34/(1+'I1 Supuestos'!$B$6),B34)</f>
        <v/>
      </c>
    </row>
    <row r="36">
      <c r="A36" t="inlineStr">
        <is>
          <t>Costo variable total unitario</t>
        </is>
      </c>
      <c r="B36">
        <f>'I1 Supuestos'!$B$27+B34*'I1 Supuestos'!$B$7+'I1 Supuestos'!$B$8+B35*'I1 Supuestos'!$B$9</f>
        <v/>
      </c>
    </row>
    <row r="37">
      <c r="A37" t="inlineStr">
        <is>
          <t>Costos fijos mensuales</t>
        </is>
      </c>
      <c r="B37">
        <f>'I1 Supuestos'!$B$22</f>
        <v/>
      </c>
    </row>
    <row r="38">
      <c r="A38" t="inlineStr">
        <is>
          <t>Inversión inicial</t>
        </is>
      </c>
      <c r="B38">
        <f>'I1 Supuestos'!$B$16</f>
        <v/>
      </c>
    </row>
    <row r="39">
      <c r="A39" s="3" t="inlineStr">
        <is>
          <t>Mes</t>
        </is>
      </c>
      <c r="B39" s="3" t="n">
        <v>1</v>
      </c>
      <c r="C39" s="3" t="n">
        <v>2</v>
      </c>
      <c r="D39" s="3" t="n">
        <v>3</v>
      </c>
      <c r="E39" s="3" t="n">
        <v>4</v>
      </c>
      <c r="F39" s="3" t="n">
        <v>5</v>
      </c>
      <c r="G39" s="3" t="n">
        <v>6</v>
      </c>
      <c r="H39" s="3" t="n">
        <v>7</v>
      </c>
      <c r="I39" s="3" t="n">
        <v>8</v>
      </c>
      <c r="J39" s="3" t="n">
        <v>9</v>
      </c>
      <c r="K39" s="3" t="n">
        <v>10</v>
      </c>
      <c r="L39" s="3" t="n">
        <v>11</v>
      </c>
      <c r="M39" s="3" t="n">
        <v>12</v>
      </c>
      <c r="N39" s="3" t="inlineStr">
        <is>
          <t>Total 12 m</t>
        </is>
      </c>
    </row>
    <row r="40">
      <c r="A40" t="inlineStr">
        <is>
          <t>Unidades</t>
        </is>
      </c>
      <c r="B40">
        <f>'I1 Supuestos'!$B$33*(1+'I1 Supuestos'!$C$33)^(1-1)</f>
        <v/>
      </c>
      <c r="C40">
        <f>'I1 Supuestos'!$B$33*(1+'I1 Supuestos'!$C$33)^(2-1)</f>
        <v/>
      </c>
      <c r="D40">
        <f>'I1 Supuestos'!$B$33*(1+'I1 Supuestos'!$C$33)^(3-1)</f>
        <v/>
      </c>
      <c r="E40">
        <f>'I1 Supuestos'!$B$33*(1+'I1 Supuestos'!$C$33)^(4-1)</f>
        <v/>
      </c>
      <c r="F40">
        <f>'I1 Supuestos'!$B$33*(1+'I1 Supuestos'!$C$33)^(5-1)</f>
        <v/>
      </c>
      <c r="G40">
        <f>'I1 Supuestos'!$B$33*(1+'I1 Supuestos'!$C$33)^(6-1)</f>
        <v/>
      </c>
      <c r="H40">
        <f>'I1 Supuestos'!$B$33*(1+'I1 Supuestos'!$C$33)^(7-1)</f>
        <v/>
      </c>
      <c r="I40">
        <f>'I1 Supuestos'!$B$33*(1+'I1 Supuestos'!$C$33)^(8-1)</f>
        <v/>
      </c>
      <c r="J40">
        <f>'I1 Supuestos'!$B$33*(1+'I1 Supuestos'!$C$33)^(9-1)</f>
        <v/>
      </c>
      <c r="K40">
        <f>'I1 Supuestos'!$B$33*(1+'I1 Supuestos'!$C$33)^(10-1)</f>
        <v/>
      </c>
      <c r="L40">
        <f>'I1 Supuestos'!$B$33*(1+'I1 Supuestos'!$C$33)^(11-1)</f>
        <v/>
      </c>
      <c r="M40">
        <f>'I1 Supuestos'!$B$33*(1+'I1 Supuestos'!$C$33)^(12-1)</f>
        <v/>
      </c>
      <c r="N40">
        <f>SUM(B40:M40)</f>
        <v/>
      </c>
    </row>
    <row r="41">
      <c r="A41" t="inlineStr">
        <is>
          <t>Ingresos netos</t>
        </is>
      </c>
      <c r="B41">
        <f>B40*$B$35</f>
        <v/>
      </c>
      <c r="C41">
        <f>C40*$B$35</f>
        <v/>
      </c>
      <c r="D41">
        <f>D40*$B$35</f>
        <v/>
      </c>
      <c r="E41">
        <f>E40*$B$35</f>
        <v/>
      </c>
      <c r="F41">
        <f>F40*$B$35</f>
        <v/>
      </c>
      <c r="G41">
        <f>G40*$B$35</f>
        <v/>
      </c>
      <c r="H41">
        <f>H40*$B$35</f>
        <v/>
      </c>
      <c r="I41">
        <f>I40*$B$35</f>
        <v/>
      </c>
      <c r="J41">
        <f>J40*$B$35</f>
        <v/>
      </c>
      <c r="K41">
        <f>K40*$B$35</f>
        <v/>
      </c>
      <c r="L41">
        <f>L40*$B$35</f>
        <v/>
      </c>
      <c r="M41">
        <f>M40*$B$35</f>
        <v/>
      </c>
      <c r="N41">
        <f>SUM(B41:M41)</f>
        <v/>
      </c>
    </row>
    <row r="42">
      <c r="A42" t="inlineStr">
        <is>
          <t>Costos variables</t>
        </is>
      </c>
      <c r="B42">
        <f>B40*$B$36</f>
        <v/>
      </c>
      <c r="C42">
        <f>C40*$B$36</f>
        <v/>
      </c>
      <c r="D42">
        <f>D40*$B$36</f>
        <v/>
      </c>
      <c r="E42">
        <f>E40*$B$36</f>
        <v/>
      </c>
      <c r="F42">
        <f>F40*$B$36</f>
        <v/>
      </c>
      <c r="G42">
        <f>G40*$B$36</f>
        <v/>
      </c>
      <c r="H42">
        <f>H40*$B$36</f>
        <v/>
      </c>
      <c r="I42">
        <f>I40*$B$36</f>
        <v/>
      </c>
      <c r="J42">
        <f>J40*$B$36</f>
        <v/>
      </c>
      <c r="K42">
        <f>K40*$B$36</f>
        <v/>
      </c>
      <c r="L42">
        <f>L40*$B$36</f>
        <v/>
      </c>
      <c r="M42">
        <f>M40*$B$36</f>
        <v/>
      </c>
      <c r="N42">
        <f>SUM(B42:M42)</f>
        <v/>
      </c>
    </row>
    <row r="43">
      <c r="A43" t="inlineStr">
        <is>
          <t>Costos fijos</t>
        </is>
      </c>
      <c r="B43">
        <f>$B$37</f>
        <v/>
      </c>
      <c r="C43">
        <f>$B$37</f>
        <v/>
      </c>
      <c r="D43">
        <f>$B$37</f>
        <v/>
      </c>
      <c r="E43">
        <f>$B$37</f>
        <v/>
      </c>
      <c r="F43">
        <f>$B$37</f>
        <v/>
      </c>
      <c r="G43">
        <f>$B$37</f>
        <v/>
      </c>
      <c r="H43">
        <f>$B$37</f>
        <v/>
      </c>
      <c r="I43">
        <f>$B$37</f>
        <v/>
      </c>
      <c r="J43">
        <f>$B$37</f>
        <v/>
      </c>
      <c r="K43">
        <f>$B$37</f>
        <v/>
      </c>
      <c r="L43">
        <f>$B$37</f>
        <v/>
      </c>
      <c r="M43">
        <f>$B$37</f>
        <v/>
      </c>
      <c r="N43">
        <f>SUM(B43:M43)</f>
        <v/>
      </c>
    </row>
    <row r="44">
      <c r="A44" t="inlineStr">
        <is>
          <t>Flujo neto</t>
        </is>
      </c>
      <c r="B44">
        <f>B41-B42-B43</f>
        <v/>
      </c>
      <c r="C44">
        <f>C41-C42-C43</f>
        <v/>
      </c>
      <c r="D44">
        <f>D41-D42-D43</f>
        <v/>
      </c>
      <c r="E44">
        <f>E41-E42-E43</f>
        <v/>
      </c>
      <c r="F44">
        <f>F41-F42-F43</f>
        <v/>
      </c>
      <c r="G44">
        <f>G41-G42-G43</f>
        <v/>
      </c>
      <c r="H44">
        <f>H41-H42-H43</f>
        <v/>
      </c>
      <c r="I44">
        <f>I41-I42-I43</f>
        <v/>
      </c>
      <c r="J44">
        <f>J41-J42-J43</f>
        <v/>
      </c>
      <c r="K44">
        <f>K41-K42-K43</f>
        <v/>
      </c>
      <c r="L44">
        <f>L41-L42-L43</f>
        <v/>
      </c>
      <c r="M44">
        <f>M41-M42-M43</f>
        <v/>
      </c>
      <c r="N44">
        <f>SUM(B44:M44)</f>
        <v/>
      </c>
    </row>
    <row r="45">
      <c r="A45" t="inlineStr">
        <is>
          <t>Acumulado (tras inversión)</t>
        </is>
      </c>
      <c r="B45">
        <f>-$B$38+B44</f>
        <v/>
      </c>
      <c r="C45">
        <f>B45+C44</f>
        <v/>
      </c>
      <c r="D45">
        <f>C45+D44</f>
        <v/>
      </c>
      <c r="E45">
        <f>D45+E44</f>
        <v/>
      </c>
      <c r="F45">
        <f>E45+F44</f>
        <v/>
      </c>
      <c r="G45">
        <f>F45+G44</f>
        <v/>
      </c>
      <c r="H45">
        <f>G45+H44</f>
        <v/>
      </c>
      <c r="I45">
        <f>H45+I44</f>
        <v/>
      </c>
      <c r="J45">
        <f>I45+J44</f>
        <v/>
      </c>
      <c r="K45">
        <f>J45+K44</f>
        <v/>
      </c>
      <c r="L45">
        <f>K45+L44</f>
        <v/>
      </c>
      <c r="M45">
        <f>L45+M44</f>
        <v/>
      </c>
      <c r="N45" s="2">
        <f>M45</f>
        <v/>
      </c>
    </row>
    <row r="46">
      <c r="A46" t="inlineStr">
        <is>
          <t>Mes en que acumulado ≥ 0</t>
        </is>
      </c>
      <c r="B46">
        <f>IF(B45&gt;=0,1,"")</f>
        <v/>
      </c>
      <c r="C46">
        <f>IF(C45&gt;=0,2,"")</f>
        <v/>
      </c>
      <c r="D46">
        <f>IF(D45&gt;=0,3,"")</f>
        <v/>
      </c>
      <c r="E46">
        <f>IF(E45&gt;=0,4,"")</f>
        <v/>
      </c>
      <c r="F46">
        <f>IF(F45&gt;=0,5,"")</f>
        <v/>
      </c>
      <c r="G46">
        <f>IF(G45&gt;=0,6,"")</f>
        <v/>
      </c>
      <c r="H46">
        <f>IF(H45&gt;=0,7,"")</f>
        <v/>
      </c>
      <c r="I46">
        <f>IF(I45&gt;=0,8,"")</f>
        <v/>
      </c>
      <c r="J46">
        <f>IF(J45&gt;=0,9,"")</f>
        <v/>
      </c>
      <c r="K46">
        <f>IF(K45&gt;=0,10,"")</f>
        <v/>
      </c>
      <c r="L46">
        <f>IF(L45&gt;=0,11,"")</f>
        <v/>
      </c>
      <c r="M46">
        <f>IF(M45&gt;=0,12,"")</f>
        <v/>
      </c>
      <c r="N46" s="2">
        <f>IF(COUNT(B46:M46)=0,"no en 12 meses",MIN(B46:M46))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2" t="inlineStr">
        <is>
          <t>Sensibilidad — EJEMPLO A — app por suscripción — escenario base, ±20 % una variable a la vez</t>
        </is>
      </c>
    </row>
    <row r="2">
      <c r="A2" t="inlineStr">
        <is>
          <t>Resultado 12 m = Σ unidades × margen unitario − 12 × fijos − inversión; Σ unidades = u1·((1+g)^12−1)/g</t>
        </is>
      </c>
    </row>
    <row r="3">
      <c r="A3" t="inlineStr">
        <is>
          <t>Variación</t>
        </is>
      </c>
      <c r="B3" s="5" t="n">
        <v>0.2</v>
      </c>
    </row>
    <row r="4">
      <c r="A4" s="3" t="inlineStr">
        <is>
          <t>Variable</t>
        </is>
      </c>
      <c r="B4" s="3" t="inlineStr">
        <is>
          <t>Valor base</t>
        </is>
      </c>
      <c r="C4" s="3" t="inlineStr">
        <is>
          <t>Resultado base</t>
        </is>
      </c>
      <c r="D4" s="3" t="inlineStr">
        <is>
          <t>Resultado −var</t>
        </is>
      </c>
      <c r="E4" s="3" t="inlineStr">
        <is>
          <t>Resultado +var</t>
        </is>
      </c>
      <c r="F4" s="3" t="inlineStr">
        <is>
          <t>Rango (abs)</t>
        </is>
      </c>
    </row>
    <row r="5">
      <c r="A5" t="inlineStr">
        <is>
          <t>precio</t>
        </is>
      </c>
      <c r="B5">
        <f>'I1 Supuestos'!$B$4</f>
        <v/>
      </c>
      <c r="C5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D5">
        <f>IF('I1 Supuestos'!$C$32=0,12*'I1 Supuestos'!$B$32,'I1 Supuestos'!$B$32*((1+'I1 Supuestos'!$C$32)^12-1)/'I1 Supuestos'!$C$32)*(IF('I1 Supuestos'!$B$5=1,(('I1 Supuestos'!$B$4*(1-$B$3))*'I1 Supuestos'!$D$32)/(1+'I1 Supuestos'!$B$6),(('I1 Supuestos'!$B$4*(1-$B$3))*'I1 Supuestos'!$D$32))-('I1 Supuestos'!$B$27+(('I1 Supuestos'!$B$4*(1-$B$3))*'I1 Supuestos'!$D$32)*'I1 Supuestos'!$B$7+'I1 Supuestos'!$B$8+IF('I1 Supuestos'!$B$5=1,(('I1 Supuestos'!$B$4*(1-$B$3))*'I1 Supuestos'!$D$32)/(1+'I1 Supuestos'!$B$6),(('I1 Supuestos'!$B$4*(1-$B$3))*'I1 Supuestos'!$D$32))*'I1 Supuestos'!$B$9))-12*'I1 Supuestos'!$B$22-'I1 Supuestos'!$B$16</f>
        <v/>
      </c>
      <c r="E5">
        <f>IF('I1 Supuestos'!$C$32=0,12*'I1 Supuestos'!$B$32,'I1 Supuestos'!$B$32*((1+'I1 Supuestos'!$C$32)^12-1)/'I1 Supuestos'!$C$32)*(IF('I1 Supuestos'!$B$5=1,(('I1 Supuestos'!$B$4*(1+$B$3))*'I1 Supuestos'!$D$32)/(1+'I1 Supuestos'!$B$6),(('I1 Supuestos'!$B$4*(1+$B$3))*'I1 Supuestos'!$D$32))-('I1 Supuestos'!$B$27+(('I1 Supuestos'!$B$4*(1+$B$3))*'I1 Supuestos'!$D$32)*'I1 Supuestos'!$B$7+'I1 Supuestos'!$B$8+IF('I1 Supuestos'!$B$5=1,(('I1 Supuestos'!$B$4*(1+$B$3))*'I1 Supuestos'!$D$32)/(1+'I1 Supuestos'!$B$6),(('I1 Supuestos'!$B$4*(1+$B$3))*'I1 Supuestos'!$D$32))*'I1 Supuestos'!$B$9))-12*'I1 Supuestos'!$B$22-'I1 Supuestos'!$B$16</f>
        <v/>
      </c>
      <c r="F5">
        <f>ABS(E5-D5)</f>
        <v/>
      </c>
    </row>
    <row r="6">
      <c r="A6" t="inlineStr">
        <is>
          <t>unidades_mes1</t>
        </is>
      </c>
      <c r="B6">
        <f>'I1 Supuestos'!$B$32</f>
        <v/>
      </c>
      <c r="C6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D6">
        <f>IF('I1 Supuestos'!$C$32=0,12*('I1 Supuestos'!$B$32*(1-$B$3)),('I1 Supuestos'!$B$32*(1-$B$3))*((1+'I1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E6">
        <f>IF('I1 Supuestos'!$C$32=0,12*('I1 Supuestos'!$B$32*(1+$B$3)),('I1 Supuestos'!$B$32*(1+$B$3))*((1+'I1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F6">
        <f>ABS(E6-D6)</f>
        <v/>
      </c>
    </row>
    <row r="7">
      <c r="A7" t="inlineStr">
        <is>
          <t>crecimiento</t>
        </is>
      </c>
      <c r="B7">
        <f>'I1 Supuestos'!$C$32</f>
        <v/>
      </c>
      <c r="C7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D7">
        <f>IF(('I1 Supuestos'!$C$32*(1-$B$3))=0,12*'I1 Supuestos'!$B$32,'I1 Supuestos'!$B$32*((1+('I1 Supuestos'!$C$32*(1-$B$3)))^12-1)/('I1 Supuestos'!$C$32*(1-$B$3)))*(IF('I1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E7">
        <f>IF(('I1 Supuestos'!$C$32*(1+$B$3))=0,12*'I1 Supuestos'!$B$32,'I1 Supuestos'!$B$32*((1+('I1 Supuestos'!$C$32*(1+$B$3)))^12-1)/('I1 Supuestos'!$C$32*(1+$B$3)))*(IF('I1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F7">
        <f>ABS(E7-D7)</f>
        <v/>
      </c>
    </row>
    <row r="8">
      <c r="A8" t="inlineStr">
        <is>
          <t>cv_directo</t>
        </is>
      </c>
      <c r="B8">
        <f>'I1 Supuestos'!$B$27</f>
        <v/>
      </c>
      <c r="C8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D8">
        <f>IF('I1 Supuestos'!$C$32=0,12*'I1 Supuestos'!$B$32,'I1 Supuestos'!$B$32*((1+'I1 Supuestos'!$C$32)^12-1)/'I1 Supuestos'!$C$32)*(IF('I1 Supuestos'!$B$5=1,('I1 Supuestos'!$B$4*'I1 Supuestos'!$D$32)/(1+'I1 Supuestos'!$B$6),('I1 Supuestos'!$B$4*'I1 Supuestos'!$D$32))-(('I1 Supuestos'!$B$27*(1-$B$3))+('I1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E8">
        <f>IF('I1 Supuestos'!$C$32=0,12*'I1 Supuestos'!$B$32,'I1 Supuestos'!$B$32*((1+'I1 Supuestos'!$C$32)^12-1)/'I1 Supuestos'!$C$32)*(IF('I1 Supuestos'!$B$5=1,('I1 Supuestos'!$B$4*'I1 Supuestos'!$D$32)/(1+'I1 Supuestos'!$B$6),('I1 Supuestos'!$B$4*'I1 Supuestos'!$D$32))-(('I1 Supuestos'!$B$27*(1+$B$3))+('I1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F8">
        <f>ABS(E8-D8)</f>
        <v/>
      </c>
    </row>
    <row r="9">
      <c r="A9" t="inlineStr">
        <is>
          <t>fijos</t>
        </is>
      </c>
      <c r="B9">
        <f>'I1 Supuestos'!$B$22</f>
        <v/>
      </c>
      <c r="C9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D9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Supuestos'!$B$9))-12*('I1 Supuestos'!$B$22*(1-$B$3))-'I1 Supuestos'!$B$16</f>
        <v/>
      </c>
      <c r="E9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Supuestos'!$B$9))-12*('I1 Supuestos'!$B$22*(1+$B$3))-'I1 Supuestos'!$B$16</f>
        <v/>
      </c>
      <c r="F9">
        <f>ABS(E9-D9)</f>
        <v/>
      </c>
    </row>
    <row r="10">
      <c r="A10" t="inlineStr">
        <is>
          <t>inversion</t>
        </is>
      </c>
      <c r="B10">
        <f>'I1 Supuestos'!$B$16</f>
        <v/>
      </c>
      <c r="C10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D10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Supuestos'!$B$22-('I1 Supuestos'!$B$16*(1-$B$3))</f>
        <v/>
      </c>
      <c r="E10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Supuestos'!$B$22-('I1 Supuestos'!$B$16*(1+$B$3))</f>
        <v/>
      </c>
      <c r="F10">
        <f>ABS(E10-D10)</f>
        <v/>
      </c>
    </row>
    <row r="11">
      <c r="A11" t="inlineStr">
        <is>
          <t>tasa_pasarela</t>
        </is>
      </c>
      <c r="B11">
        <f>'I1 Supuestos'!$B$7</f>
        <v/>
      </c>
      <c r="C11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D11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Supuestos'!$D$32)*('I1 Supuestos'!$B$7*(1-$B$3))+'I1 Supuestos'!$B$8+IF('I1 Supuestos'!$B$5=1,('I1 Supuestos'!$B$4*'I1 Supuestos'!$D$32)/(1+'I1 Supuestos'!$B$6),('I1 Supuestos'!$B$4*'I1 Supuestos'!$D$32))*'I1 Supuestos'!$B$9))-12*'I1 Supuestos'!$B$22-'I1 Supuestos'!$B$16</f>
        <v/>
      </c>
      <c r="E11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Supuestos'!$D$32)*('I1 Supuestos'!$B$7*(1+$B$3))+'I1 Supuestos'!$B$8+IF('I1 Supuestos'!$B$5=1,('I1 Supuestos'!$B$4*'I1 Supuestos'!$D$32)/(1+'I1 Supuestos'!$B$6),('I1 Supuestos'!$B$4*'I1 Supuestos'!$D$32))*'I1 Supuestos'!$B$9))-12*'I1 Supuestos'!$B$22-'I1 Supuestos'!$B$16</f>
        <v/>
      </c>
      <c r="F11">
        <f>ABS(E11-D11)</f>
        <v/>
      </c>
    </row>
    <row r="12">
      <c r="A12" t="inlineStr">
        <is>
          <t>tasa_impuesto_renta</t>
        </is>
      </c>
      <c r="B12">
        <f>'I1 Supuestos'!$B$9</f>
        <v/>
      </c>
      <c r="C12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Supuestos'!$D$32))*'I1 Supuestos'!$B$9))-12*'I1 Supuestos'!$B$22-'I1 Supuestos'!$B$16</f>
        <v/>
      </c>
      <c r="D12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Supuestos'!$D$32))*('I1 Supuestos'!$B$9*(1-$B$3))))-12*'I1 Supuestos'!$B$22-'I1 Supuestos'!$B$16</f>
        <v/>
      </c>
      <c r="E12">
        <f>IF('I1 Supuestos'!$C$32=0,12*'I1 Supuestos'!$B$32,'I1 Supuestos'!$B$32*((1+'I1 Supuestos'!$C$32)^12-1)/'I1 Supuestos'!$C$32)*(IF('I1 Supuestos'!$B$5=1,('I1 Supuestos'!$B$4*'I1 Supuestos'!$D$32)/(1+'I1 Supuestos'!$B$6),('I1 Supuestos'!$B$4*'I1 Supuestos'!$D$32))-('I1 Supuestos'!$B$27+('I1 Supuestos'!$B$4*'I1 Supuestos'!$D$32)*'I1 Supuestos'!$B$7+'I1 Supuestos'!$B$8+IF('I1 Supuestos'!$B$5=1,('I1 Supuestos'!$B$4*'I1 Supuestos'!$D$32)/(1+'I1 Supuestos'!$B$6),('I1 Supuestos'!$B$4*'I1 Supuestos'!$D$32))*('I1 Supuestos'!$B$9*(1+$B$3))))-12*'I1 Supuestos'!$B$22-'I1 Supuestos'!$B$16</f>
        <v/>
      </c>
      <c r="F12">
        <f>ABS(E12-D12)</f>
        <v/>
      </c>
    </row>
    <row r="14">
      <c r="A14" t="inlineStr">
        <is>
          <t>La variable con mayor 'Rango' es la que más mueve el resultado.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36" customWidth="1" min="3" max="3"/>
    <col width="40" customWidth="1" min="4" max="4"/>
    <col width="14" customWidth="1" min="5" max="5"/>
  </cols>
  <sheetData>
    <row r="1">
      <c r="A1" s="2" t="inlineStr">
        <is>
          <t>Idea: EJEMPLO B — producto físico</t>
        </is>
      </c>
    </row>
    <row r="2">
      <c r="A2" t="inlineStr">
        <is>
          <t>Unidad: un kit vendido</t>
        </is>
      </c>
    </row>
    <row r="3">
      <c r="A3" s="2" t="inlineStr">
        <is>
          <t>Concepto</t>
        </is>
      </c>
      <c r="B3" t="inlineStr">
        <is>
          <t>Valor</t>
        </is>
      </c>
      <c r="C3" t="inlineStr">
        <is>
          <t>Origen</t>
        </is>
      </c>
      <c r="D3" t="inlineStr">
        <is>
          <t>Nota</t>
        </is>
      </c>
    </row>
    <row r="4">
      <c r="A4" t="inlineStr">
        <is>
          <t>Precio de venta al cliente (S/)</t>
        </is>
      </c>
      <c r="B4" s="5" t="n">
        <v>79</v>
      </c>
      <c r="C4" t="inlineStr">
        <is>
          <t>EJEMPLO</t>
        </is>
      </c>
      <c r="D4" t="inlineStr">
        <is>
          <t>precio con IGV incluido</t>
        </is>
      </c>
    </row>
    <row r="5">
      <c r="A5" t="inlineStr">
        <is>
          <t>¿Precio incluye IGV? (1 = sí, 0 = no)</t>
        </is>
      </c>
      <c r="B5" s="5" t="n">
        <v>1</v>
      </c>
      <c r="C5" t="inlineStr">
        <is>
          <t>regla</t>
        </is>
      </c>
      <c r="D5" t="inlineStr"/>
    </row>
    <row r="6">
      <c r="A6" t="inlineStr">
        <is>
          <t>Tasa IGV</t>
        </is>
      </c>
      <c r="B6" s="5" t="n">
        <v>0.18</v>
      </c>
      <c r="C6" t="inlineStr">
        <is>
          <t>EJEMPLO</t>
        </is>
      </c>
      <c r="D6" t="inlineStr"/>
    </row>
    <row r="7">
      <c r="A7" t="inlineStr">
        <is>
          <t>Comisión pasarela (%)</t>
        </is>
      </c>
      <c r="B7" s="5" t="n">
        <v>0.0399</v>
      </c>
      <c r="C7" t="inlineStr">
        <is>
          <t>EJEMPLO</t>
        </is>
      </c>
      <c r="D7" t="inlineStr"/>
    </row>
    <row r="8">
      <c r="A8" t="inlineStr">
        <is>
          <t>Comisión pasarela fija por transacción (S/)</t>
        </is>
      </c>
      <c r="B8" s="5" t="n">
        <v>1</v>
      </c>
      <c r="C8" t="inlineStr">
        <is>
          <t>EJEMPLO</t>
        </is>
      </c>
      <c r="D8" t="inlineStr"/>
    </row>
    <row r="9">
      <c r="A9" t="inlineStr">
        <is>
          <t>Impuesto a la renta (% sobre ingreso neto)</t>
        </is>
      </c>
      <c r="B9" s="5" t="n">
        <v>0.015</v>
      </c>
      <c r="C9" t="inlineStr">
        <is>
          <t>EJEMPLO</t>
        </is>
      </c>
      <c r="D9" t="inlineStr"/>
    </row>
    <row r="10">
      <c r="A10" t="inlineStr">
        <is>
          <t>Horas por semana requeridas</t>
        </is>
      </c>
      <c r="B10" s="5" t="n">
        <v>14</v>
      </c>
      <c r="C10" t="inlineStr">
        <is>
          <t>EJEMPLO</t>
        </is>
      </c>
      <c r="D10" t="inlineStr"/>
    </row>
    <row r="12">
      <c r="A12" s="2" t="inlineStr">
        <is>
          <t>Inversión inicial (S/)</t>
        </is>
      </c>
    </row>
    <row r="13">
      <c r="A13" t="inlineStr">
        <is>
          <t>stock inicial</t>
        </is>
      </c>
      <c r="B13" s="5" t="n">
        <v>3000</v>
      </c>
      <c r="C13" t="inlineStr">
        <is>
          <t>EJEMPLO</t>
        </is>
      </c>
      <c r="D13" t="inlineStr"/>
    </row>
    <row r="14">
      <c r="A14" t="inlineStr">
        <is>
          <t>empaque y etiquetas</t>
        </is>
      </c>
      <c r="B14" s="5" t="n">
        <v>500</v>
      </c>
      <c r="C14" t="inlineStr">
        <is>
          <t>EJEMPLO</t>
        </is>
      </c>
      <c r="D14" t="inlineStr"/>
    </row>
    <row r="15">
      <c r="A15" t="inlineStr">
        <is>
          <t>fotos y web</t>
        </is>
      </c>
      <c r="B15" s="5" t="n">
        <v>700</v>
      </c>
      <c r="C15" t="inlineStr">
        <is>
          <t>EJEMPLO</t>
        </is>
      </c>
      <c r="D15" t="inlineStr"/>
    </row>
    <row r="16">
      <c r="A16" t="inlineStr">
        <is>
          <t>formalización</t>
        </is>
      </c>
      <c r="B16" s="5" t="n">
        <v>600</v>
      </c>
      <c r="C16" t="inlineStr">
        <is>
          <t>EJEMPLO</t>
        </is>
      </c>
      <c r="D16" t="inlineStr"/>
    </row>
    <row r="17">
      <c r="A17" s="2" t="inlineStr">
        <is>
          <t>TOTAL inversión inicial (s/)</t>
        </is>
      </c>
      <c r="B17">
        <f>SUM(B13:B16)</f>
        <v/>
      </c>
      <c r="C17" t="inlineStr">
        <is>
          <t>fórmula</t>
        </is>
      </c>
      <c r="D17" t="inlineStr"/>
    </row>
    <row r="19">
      <c r="A19" s="2" t="inlineStr">
        <is>
          <t>Costos fijos mensuales (S/)</t>
        </is>
      </c>
    </row>
    <row r="20">
      <c r="A20" t="inlineStr">
        <is>
          <t>web y herramientas</t>
        </is>
      </c>
      <c r="B20" s="5" t="n">
        <v>90</v>
      </c>
      <c r="C20" t="inlineStr">
        <is>
          <t>EJEMPLO</t>
        </is>
      </c>
      <c r="D20" t="inlineStr"/>
    </row>
    <row r="21">
      <c r="A21" t="inlineStr">
        <is>
          <t>contador</t>
        </is>
      </c>
      <c r="B21" s="5" t="n">
        <v>150</v>
      </c>
      <c r="C21" t="inlineStr">
        <is>
          <t>EJEMPLO</t>
        </is>
      </c>
      <c r="D21" t="inlineStr"/>
    </row>
    <row r="22">
      <c r="A22" t="inlineStr">
        <is>
          <t>publicidad base</t>
        </is>
      </c>
      <c r="B22" s="5" t="n">
        <v>300</v>
      </c>
      <c r="C22" t="inlineStr">
        <is>
          <t>EJEMPLO</t>
        </is>
      </c>
      <c r="D22" t="inlineStr"/>
    </row>
    <row r="23">
      <c r="A23" s="2" t="inlineStr">
        <is>
          <t>TOTAL costos fijos mensuales (s/)</t>
        </is>
      </c>
      <c r="B23">
        <f>SUM(B20:B22)</f>
        <v/>
      </c>
      <c r="C23" t="inlineStr">
        <is>
          <t>fórmula</t>
        </is>
      </c>
      <c r="D23" t="inlineStr"/>
    </row>
    <row r="25">
      <c r="A25" s="2" t="inlineStr">
        <is>
          <t>Costo variable directo por unidad (S/)</t>
        </is>
      </c>
    </row>
    <row r="26">
      <c r="A26" t="inlineStr">
        <is>
          <t>costo del producto</t>
        </is>
      </c>
      <c r="B26" s="5" t="n">
        <v>32</v>
      </c>
      <c r="C26" t="inlineStr">
        <is>
          <t>EJEMPLO</t>
        </is>
      </c>
      <c r="D26" t="inlineStr"/>
    </row>
    <row r="27">
      <c r="A27" t="inlineStr">
        <is>
          <t>empaque</t>
        </is>
      </c>
      <c r="B27" s="5" t="n">
        <v>3</v>
      </c>
      <c r="C27" t="inlineStr">
        <is>
          <t>EJEMPLO</t>
        </is>
      </c>
      <c r="D27" t="inlineStr"/>
    </row>
    <row r="28">
      <c r="A28" t="inlineStr">
        <is>
          <t>envío en Lima</t>
        </is>
      </c>
      <c r="B28" s="5" t="n">
        <v>10</v>
      </c>
      <c r="C28" t="inlineStr">
        <is>
          <t>EJEMPLO</t>
        </is>
      </c>
      <c r="D28" t="inlineStr"/>
    </row>
    <row r="29">
      <c r="A29" s="2" t="inlineStr">
        <is>
          <t>TOTAL costo variable directo por unidad (s/)</t>
        </is>
      </c>
      <c r="B29">
        <f>SUM(B26:B28)</f>
        <v/>
      </c>
      <c r="C29" t="inlineStr">
        <is>
          <t>fórmula</t>
        </is>
      </c>
      <c r="D29" t="inlineStr"/>
    </row>
    <row r="31">
      <c r="A31" s="2" t="inlineStr">
        <is>
          <t>Escenarios</t>
        </is>
      </c>
    </row>
    <row r="32">
      <c r="A32" t="inlineStr">
        <is>
          <t>Escenario</t>
        </is>
      </c>
      <c r="B32" t="inlineStr">
        <is>
          <t>Unidades mes 1</t>
        </is>
      </c>
      <c r="C32" t="inlineStr">
        <is>
          <t>Crecimiento mensual</t>
        </is>
      </c>
      <c r="D32" t="inlineStr">
        <is>
          <t>Factor precio</t>
        </is>
      </c>
      <c r="E32" t="inlineStr">
        <is>
          <t>Origen</t>
        </is>
      </c>
    </row>
    <row r="33">
      <c r="A33" t="inlineStr">
        <is>
          <t>pesimista</t>
        </is>
      </c>
      <c r="B33" s="5" t="n">
        <v>25</v>
      </c>
      <c r="C33" s="5" t="n">
        <v>0.03</v>
      </c>
      <c r="D33" s="5" t="n">
        <v>0.9</v>
      </c>
      <c r="E33" t="inlineStr">
        <is>
          <t>EJEMPLO</t>
        </is>
      </c>
    </row>
    <row r="34">
      <c r="A34" t="inlineStr">
        <is>
          <t>base</t>
        </is>
      </c>
      <c r="B34" s="5" t="n">
        <v>45</v>
      </c>
      <c r="C34" s="5" t="n">
        <v>0.08</v>
      </c>
      <c r="D34" s="5" t="n">
        <v>1</v>
      </c>
      <c r="E34" t="inlineStr">
        <is>
          <t>EJEMPLO</t>
        </is>
      </c>
    </row>
    <row r="35">
      <c r="A35" t="inlineStr">
        <is>
          <t>optimista</t>
        </is>
      </c>
      <c r="B35" s="5" t="n">
        <v>80</v>
      </c>
      <c r="C35" s="5" t="n">
        <v>0.12</v>
      </c>
      <c r="D35" s="5" t="n">
        <v>1</v>
      </c>
      <c r="E35" t="inlineStr">
        <is>
          <t>EJEMPLO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70" customWidth="1" min="3" max="3"/>
  </cols>
  <sheetData>
    <row r="1">
      <c r="A1" s="2" t="inlineStr">
        <is>
          <t>Economía unitaria — EJEMPLO B — producto físico (precio de lista)</t>
        </is>
      </c>
    </row>
    <row r="2">
      <c r="A2" t="inlineStr">
        <is>
          <t>Concepto</t>
        </is>
      </c>
      <c r="B2" t="inlineStr">
        <is>
          <t>S/</t>
        </is>
      </c>
      <c r="C2" t="inlineStr">
        <is>
          <t>Fórmula</t>
        </is>
      </c>
    </row>
    <row r="3">
      <c r="A3" t="inlineStr">
        <is>
          <t>Precio al cliente</t>
        </is>
      </c>
      <c r="B3">
        <f>'I2 Supuestos'!$B$4</f>
        <v/>
      </c>
      <c r="C3" t="inlineStr">
        <is>
          <t>'='I2 Supuestos'!$B$4</t>
        </is>
      </c>
    </row>
    <row r="4">
      <c r="A4" t="inlineStr">
        <is>
          <t>Ingreso neto (sin IGV)</t>
        </is>
      </c>
      <c r="B4">
        <f>IF('I2 Supuestos'!$B$5=1,'I2 Unitario'!$B$3/(1+'I2 Supuestos'!$B$6),'I2 Unitario'!$B$3)</f>
        <v/>
      </c>
      <c r="C4" t="inlineStr">
        <is>
          <t>'=IF('I2 Supuestos'!$B$5=1,'I2 Unitario'!$B$3/(1+'I2 Supuestos'!$B$6),'I2 Unitario'!$B$3)</t>
        </is>
      </c>
    </row>
    <row r="5">
      <c r="A5" t="inlineStr">
        <is>
          <t>Comisión pasarela</t>
        </is>
      </c>
      <c r="B5">
        <f>'I2 Unitario'!$B$3*'I2 Supuestos'!$B$7+'I2 Supuestos'!$B$8</f>
        <v/>
      </c>
      <c r="C5" t="inlineStr">
        <is>
          <t>'='I2 Unitario'!$B$3*'I2 Supuestos'!$B$7+'I2 Supuestos'!$B$8</t>
        </is>
      </c>
    </row>
    <row r="6">
      <c r="A6" t="inlineStr">
        <is>
          <t>Impuesto a la renta</t>
        </is>
      </c>
      <c r="B6">
        <f>'I2 Unitario'!$B$4*'I2 Supuestos'!$B$9</f>
        <v/>
      </c>
      <c r="C6" t="inlineStr">
        <is>
          <t>'='I2 Unitario'!$B$4*'I2 Supuestos'!$B$9</t>
        </is>
      </c>
    </row>
    <row r="7">
      <c r="A7" t="inlineStr">
        <is>
          <t>Costo variable directo</t>
        </is>
      </c>
      <c r="B7">
        <f>'I2 Supuestos'!$B$29</f>
        <v/>
      </c>
      <c r="C7" t="inlineStr">
        <is>
          <t>'='I2 Supuestos'!$B$29</t>
        </is>
      </c>
    </row>
    <row r="8">
      <c r="A8" t="inlineStr">
        <is>
          <t>Costo variable total</t>
        </is>
      </c>
      <c r="B8">
        <f>'I2 Unitario'!$B$7+'I2 Unitario'!$B$5+'I2 Unitario'!$B$6</f>
        <v/>
      </c>
      <c r="C8" t="inlineStr">
        <is>
          <t>'='I2 Unitario'!$B$7+'I2 Unitario'!$B$5+'I2 Unitario'!$B$6</t>
        </is>
      </c>
    </row>
    <row r="9">
      <c r="A9" t="inlineStr">
        <is>
          <t>Margen por unidad</t>
        </is>
      </c>
      <c r="B9">
        <f>'I2 Unitario'!$B$4-'I2 Unitario'!$B$8</f>
        <v/>
      </c>
      <c r="C9" t="inlineStr">
        <is>
          <t>'='I2 Unitario'!$B$4-'I2 Unitario'!$B$8</t>
        </is>
      </c>
    </row>
    <row r="10">
      <c r="A10" t="inlineStr">
        <is>
          <t>Margen % sobre ingreso neto</t>
        </is>
      </c>
      <c r="B10">
        <f>IF('I2 Unitario'!$B$4=0,0,'I2 Unitario'!$B$9/'I2 Unitario'!$B$4)</f>
        <v/>
      </c>
      <c r="C10" t="inlineStr">
        <is>
          <t>'=IF('I2 Unitario'!$B$4=0,0,'I2 Unitario'!$B$9/'I2 Unitario'!$B$4)</t>
        </is>
      </c>
    </row>
    <row r="11">
      <c r="A11" t="inlineStr">
        <is>
          <t>Costos fijos mensuales</t>
        </is>
      </c>
      <c r="B11">
        <f>'I2 Supuestos'!$B$23</f>
        <v/>
      </c>
      <c r="C11" t="inlineStr">
        <is>
          <t>'='I2 Supuestos'!$B$23</t>
        </is>
      </c>
    </row>
    <row r="12">
      <c r="A12" t="inlineStr">
        <is>
          <t>Punto de equilibrio (unidades/mes)</t>
        </is>
      </c>
      <c r="B12">
        <f>IF('I2 Unitario'!$B$9&gt;0,'I2 Unitario'!$B$11/'I2 Unitario'!$B$9,"no alcanzable")</f>
        <v/>
      </c>
      <c r="C12" t="inlineStr">
        <is>
          <t>'=IF('I2 Unitario'!$B$9&gt;0,'I2 Unitario'!$B$11/'I2 Unitario'!$B$9,"no alcanzable")</t>
        </is>
      </c>
    </row>
    <row r="13">
      <c r="A13" t="inlineStr">
        <is>
          <t>Punto de equilibrio (S/ ventas/mes)</t>
        </is>
      </c>
      <c r="B13">
        <f>IF(ISNUMBER('I2 Unitario'!$B$12),'I2 Unitario'!$B$12*'I2 Unitario'!$B$3,"no alcanzable")</f>
        <v/>
      </c>
      <c r="C13" t="inlineStr">
        <is>
          <t>'=IF(ISNUMBER('I2 Unitario'!$B$12),'I2 Unitario'!$B$12*'I2 Unitario'!$B$3,"no alcanzable")</t>
        </is>
      </c>
    </row>
    <row r="14">
      <c r="A14" t="inlineStr">
        <is>
          <t>Inversión inicial</t>
        </is>
      </c>
      <c r="B14">
        <f>'I2 Supuestos'!$B$17</f>
        <v/>
      </c>
      <c r="C14" t="inlineStr">
        <is>
          <t>'='I2 Supuestos'!$B$17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" t="inlineStr">
        <is>
          <t>Flujo de caja a 12 meses — EJEMPLO B — producto físico. Escenarios, no predicciones.</t>
        </is>
      </c>
    </row>
    <row r="3">
      <c r="A3" s="2" t="inlineStr">
        <is>
          <t>Escenario pesimista</t>
        </is>
      </c>
    </row>
    <row r="4">
      <c r="A4" t="inlineStr">
        <is>
          <t>Precio escenario</t>
        </is>
      </c>
      <c r="B4">
        <f>'I2 Supuestos'!$B$4*'I2 Supuestos'!$D$33</f>
        <v/>
      </c>
    </row>
    <row r="5">
      <c r="A5" t="inlineStr">
        <is>
          <t>Ingreso neto unitario</t>
        </is>
      </c>
      <c r="B5">
        <f>IF('I2 Supuestos'!$B$5=1,B4/(1+'I2 Supuestos'!$B$6),B4)</f>
        <v/>
      </c>
    </row>
    <row r="6">
      <c r="A6" t="inlineStr">
        <is>
          <t>Costo variable total unitario</t>
        </is>
      </c>
      <c r="B6">
        <f>'I2 Supuestos'!$B$29+B4*'I2 Supuestos'!$B$7+'I2 Supuestos'!$B$8+B5*'I2 Supuestos'!$B$9</f>
        <v/>
      </c>
    </row>
    <row r="7">
      <c r="A7" t="inlineStr">
        <is>
          <t>Costos fijos mensuales</t>
        </is>
      </c>
      <c r="B7">
        <f>'I2 Supuestos'!$B$23</f>
        <v/>
      </c>
    </row>
    <row r="8">
      <c r="A8" t="inlineStr">
        <is>
          <t>Inversión inicial</t>
        </is>
      </c>
      <c r="B8">
        <f>'I2 Supuestos'!$B$17</f>
        <v/>
      </c>
    </row>
    <row r="9">
      <c r="A9" s="3" t="inlineStr">
        <is>
          <t>Mes</t>
        </is>
      </c>
      <c r="B9" s="3" t="n">
        <v>1</v>
      </c>
      <c r="C9" s="3" t="n">
        <v>2</v>
      </c>
      <c r="D9" s="3" t="n">
        <v>3</v>
      </c>
      <c r="E9" s="3" t="n">
        <v>4</v>
      </c>
      <c r="F9" s="3" t="n">
        <v>5</v>
      </c>
      <c r="G9" s="3" t="n">
        <v>6</v>
      </c>
      <c r="H9" s="3" t="n">
        <v>7</v>
      </c>
      <c r="I9" s="3" t="n">
        <v>8</v>
      </c>
      <c r="J9" s="3" t="n">
        <v>9</v>
      </c>
      <c r="K9" s="3" t="n">
        <v>10</v>
      </c>
      <c r="L9" s="3" t="n">
        <v>11</v>
      </c>
      <c r="M9" s="3" t="n">
        <v>12</v>
      </c>
      <c r="N9" s="3" t="inlineStr">
        <is>
          <t>Total 12 m</t>
        </is>
      </c>
    </row>
    <row r="10">
      <c r="A10" t="inlineStr">
        <is>
          <t>Unidades</t>
        </is>
      </c>
      <c r="B10">
        <f>'I2 Supuestos'!$B$33*(1+'I2 Supuestos'!$C$33)^(1-1)</f>
        <v/>
      </c>
      <c r="C10">
        <f>'I2 Supuestos'!$B$33*(1+'I2 Supuestos'!$C$33)^(2-1)</f>
        <v/>
      </c>
      <c r="D10">
        <f>'I2 Supuestos'!$B$33*(1+'I2 Supuestos'!$C$33)^(3-1)</f>
        <v/>
      </c>
      <c r="E10">
        <f>'I2 Supuestos'!$B$33*(1+'I2 Supuestos'!$C$33)^(4-1)</f>
        <v/>
      </c>
      <c r="F10">
        <f>'I2 Supuestos'!$B$33*(1+'I2 Supuestos'!$C$33)^(5-1)</f>
        <v/>
      </c>
      <c r="G10">
        <f>'I2 Supuestos'!$B$33*(1+'I2 Supuestos'!$C$33)^(6-1)</f>
        <v/>
      </c>
      <c r="H10">
        <f>'I2 Supuestos'!$B$33*(1+'I2 Supuestos'!$C$33)^(7-1)</f>
        <v/>
      </c>
      <c r="I10">
        <f>'I2 Supuestos'!$B$33*(1+'I2 Supuestos'!$C$33)^(8-1)</f>
        <v/>
      </c>
      <c r="J10">
        <f>'I2 Supuestos'!$B$33*(1+'I2 Supuestos'!$C$33)^(9-1)</f>
        <v/>
      </c>
      <c r="K10">
        <f>'I2 Supuestos'!$B$33*(1+'I2 Supuestos'!$C$33)^(10-1)</f>
        <v/>
      </c>
      <c r="L10">
        <f>'I2 Supuestos'!$B$33*(1+'I2 Supuestos'!$C$33)^(11-1)</f>
        <v/>
      </c>
      <c r="M10">
        <f>'I2 Supuestos'!$B$33*(1+'I2 Supuestos'!$C$33)^(12-1)</f>
        <v/>
      </c>
      <c r="N10">
        <f>SUM(B10:M10)</f>
        <v/>
      </c>
    </row>
    <row r="11">
      <c r="A11" t="inlineStr">
        <is>
          <t>Ingresos netos</t>
        </is>
      </c>
      <c r="B11">
        <f>B10*$B$5</f>
        <v/>
      </c>
      <c r="C11">
        <f>C10*$B$5</f>
        <v/>
      </c>
      <c r="D11">
        <f>D10*$B$5</f>
        <v/>
      </c>
      <c r="E11">
        <f>E10*$B$5</f>
        <v/>
      </c>
      <c r="F11">
        <f>F10*$B$5</f>
        <v/>
      </c>
      <c r="G11">
        <f>G10*$B$5</f>
        <v/>
      </c>
      <c r="H11">
        <f>H10*$B$5</f>
        <v/>
      </c>
      <c r="I11">
        <f>I10*$B$5</f>
        <v/>
      </c>
      <c r="J11">
        <f>J10*$B$5</f>
        <v/>
      </c>
      <c r="K11">
        <f>K10*$B$5</f>
        <v/>
      </c>
      <c r="L11">
        <f>L10*$B$5</f>
        <v/>
      </c>
      <c r="M11">
        <f>M10*$B$5</f>
        <v/>
      </c>
      <c r="N11">
        <f>SUM(B11:M11)</f>
        <v/>
      </c>
    </row>
    <row r="12">
      <c r="A12" t="inlineStr">
        <is>
          <t>Costos variables</t>
        </is>
      </c>
      <c r="B12">
        <f>B10*$B$6</f>
        <v/>
      </c>
      <c r="C12">
        <f>C10*$B$6</f>
        <v/>
      </c>
      <c r="D12">
        <f>D10*$B$6</f>
        <v/>
      </c>
      <c r="E12">
        <f>E10*$B$6</f>
        <v/>
      </c>
      <c r="F12">
        <f>F10*$B$6</f>
        <v/>
      </c>
      <c r="G12">
        <f>G10*$B$6</f>
        <v/>
      </c>
      <c r="H12">
        <f>H10*$B$6</f>
        <v/>
      </c>
      <c r="I12">
        <f>I10*$B$6</f>
        <v/>
      </c>
      <c r="J12">
        <f>J10*$B$6</f>
        <v/>
      </c>
      <c r="K12">
        <f>K10*$B$6</f>
        <v/>
      </c>
      <c r="L12">
        <f>L10*$B$6</f>
        <v/>
      </c>
      <c r="M12">
        <f>M10*$B$6</f>
        <v/>
      </c>
      <c r="N12">
        <f>SUM(B12:M12)</f>
        <v/>
      </c>
    </row>
    <row r="13">
      <c r="A13" t="inlineStr">
        <is>
          <t>Costos fijos</t>
        </is>
      </c>
      <c r="B13">
        <f>$B$7</f>
        <v/>
      </c>
      <c r="C13">
        <f>$B$7</f>
        <v/>
      </c>
      <c r="D13">
        <f>$B$7</f>
        <v/>
      </c>
      <c r="E13">
        <f>$B$7</f>
        <v/>
      </c>
      <c r="F13">
        <f>$B$7</f>
        <v/>
      </c>
      <c r="G13">
        <f>$B$7</f>
        <v/>
      </c>
      <c r="H13">
        <f>$B$7</f>
        <v/>
      </c>
      <c r="I13">
        <f>$B$7</f>
        <v/>
      </c>
      <c r="J13">
        <f>$B$7</f>
        <v/>
      </c>
      <c r="K13">
        <f>$B$7</f>
        <v/>
      </c>
      <c r="L13">
        <f>$B$7</f>
        <v/>
      </c>
      <c r="M13">
        <f>$B$7</f>
        <v/>
      </c>
      <c r="N13">
        <f>SUM(B13:M13)</f>
        <v/>
      </c>
    </row>
    <row r="14">
      <c r="A14" t="inlineStr">
        <is>
          <t>Flujo neto</t>
        </is>
      </c>
      <c r="B14">
        <f>B11-B12-B13</f>
        <v/>
      </c>
      <c r="C14">
        <f>C11-C12-C13</f>
        <v/>
      </c>
      <c r="D14">
        <f>D11-D12-D13</f>
        <v/>
      </c>
      <c r="E14">
        <f>E11-E12-E13</f>
        <v/>
      </c>
      <c r="F14">
        <f>F11-F12-F13</f>
        <v/>
      </c>
      <c r="G14">
        <f>G11-G12-G13</f>
        <v/>
      </c>
      <c r="H14">
        <f>H11-H12-H13</f>
        <v/>
      </c>
      <c r="I14">
        <f>I11-I12-I13</f>
        <v/>
      </c>
      <c r="J14">
        <f>J11-J12-J13</f>
        <v/>
      </c>
      <c r="K14">
        <f>K11-K12-K13</f>
        <v/>
      </c>
      <c r="L14">
        <f>L11-L12-L13</f>
        <v/>
      </c>
      <c r="M14">
        <f>M11-M12-M13</f>
        <v/>
      </c>
      <c r="N14">
        <f>SUM(B14:M14)</f>
        <v/>
      </c>
    </row>
    <row r="15">
      <c r="A15" t="inlineStr">
        <is>
          <t>Acumulado (tras inversión)</t>
        </is>
      </c>
      <c r="B15">
        <f>-$B$8+B14</f>
        <v/>
      </c>
      <c r="C15">
        <f>B15+C14</f>
        <v/>
      </c>
      <c r="D15">
        <f>C15+D14</f>
        <v/>
      </c>
      <c r="E15">
        <f>D15+E14</f>
        <v/>
      </c>
      <c r="F15">
        <f>E15+F14</f>
        <v/>
      </c>
      <c r="G15">
        <f>F15+G14</f>
        <v/>
      </c>
      <c r="H15">
        <f>G15+H14</f>
        <v/>
      </c>
      <c r="I15">
        <f>H15+I14</f>
        <v/>
      </c>
      <c r="J15">
        <f>I15+J14</f>
        <v/>
      </c>
      <c r="K15">
        <f>J15+K14</f>
        <v/>
      </c>
      <c r="L15">
        <f>K15+L14</f>
        <v/>
      </c>
      <c r="M15">
        <f>L15+M14</f>
        <v/>
      </c>
      <c r="N15" s="2">
        <f>M15</f>
        <v/>
      </c>
    </row>
    <row r="16">
      <c r="A16" t="inlineStr">
        <is>
          <t>Mes en que acumulado ≥ 0</t>
        </is>
      </c>
      <c r="B16">
        <f>IF(B15&gt;=0,1,"")</f>
        <v/>
      </c>
      <c r="C16">
        <f>IF(C15&gt;=0,2,"")</f>
        <v/>
      </c>
      <c r="D16">
        <f>IF(D15&gt;=0,3,"")</f>
        <v/>
      </c>
      <c r="E16">
        <f>IF(E15&gt;=0,4,"")</f>
        <v/>
      </c>
      <c r="F16">
        <f>IF(F15&gt;=0,5,"")</f>
        <v/>
      </c>
      <c r="G16">
        <f>IF(G15&gt;=0,6,"")</f>
        <v/>
      </c>
      <c r="H16">
        <f>IF(H15&gt;=0,7,"")</f>
        <v/>
      </c>
      <c r="I16">
        <f>IF(I15&gt;=0,8,"")</f>
        <v/>
      </c>
      <c r="J16">
        <f>IF(J15&gt;=0,9,"")</f>
        <v/>
      </c>
      <c r="K16">
        <f>IF(K15&gt;=0,10,"")</f>
        <v/>
      </c>
      <c r="L16">
        <f>IF(L15&gt;=0,11,"")</f>
        <v/>
      </c>
      <c r="M16">
        <f>IF(M15&gt;=0,12,"")</f>
        <v/>
      </c>
      <c r="N16" s="2">
        <f>IF(COUNT(B16:M16)=0,"no en 12 meses",MIN(B16:M16))</f>
        <v/>
      </c>
    </row>
    <row r="18">
      <c r="A18" s="2" t="inlineStr">
        <is>
          <t>Escenario base</t>
        </is>
      </c>
    </row>
    <row r="19">
      <c r="A19" t="inlineStr">
        <is>
          <t>Precio escenario</t>
        </is>
      </c>
      <c r="B19">
        <f>'I2 Supuestos'!$B$4*'I2 Supuestos'!$D$34</f>
        <v/>
      </c>
    </row>
    <row r="20">
      <c r="A20" t="inlineStr">
        <is>
          <t>Ingreso neto unitario</t>
        </is>
      </c>
      <c r="B20">
        <f>IF('I2 Supuestos'!$B$5=1,B19/(1+'I2 Supuestos'!$B$6),B19)</f>
        <v/>
      </c>
    </row>
    <row r="21">
      <c r="A21" t="inlineStr">
        <is>
          <t>Costo variable total unitario</t>
        </is>
      </c>
      <c r="B21">
        <f>'I2 Supuestos'!$B$29+B19*'I2 Supuestos'!$B$7+'I2 Supuestos'!$B$8+B20*'I2 Supuestos'!$B$9</f>
        <v/>
      </c>
    </row>
    <row r="22">
      <c r="A22" t="inlineStr">
        <is>
          <t>Costos fijos mensuales</t>
        </is>
      </c>
      <c r="B22">
        <f>'I2 Supuestos'!$B$23</f>
        <v/>
      </c>
    </row>
    <row r="23">
      <c r="A23" t="inlineStr">
        <is>
          <t>Inversión inicial</t>
        </is>
      </c>
      <c r="B23">
        <f>'I2 Supuestos'!$B$17</f>
        <v/>
      </c>
    </row>
    <row r="24">
      <c r="A24" s="3" t="inlineStr">
        <is>
          <t>Mes</t>
        </is>
      </c>
      <c r="B24" s="3" t="n">
        <v>1</v>
      </c>
      <c r="C24" s="3" t="n">
        <v>2</v>
      </c>
      <c r="D24" s="3" t="n">
        <v>3</v>
      </c>
      <c r="E24" s="3" t="n">
        <v>4</v>
      </c>
      <c r="F24" s="3" t="n">
        <v>5</v>
      </c>
      <c r="G24" s="3" t="n">
        <v>6</v>
      </c>
      <c r="H24" s="3" t="n">
        <v>7</v>
      </c>
      <c r="I24" s="3" t="n">
        <v>8</v>
      </c>
      <c r="J24" s="3" t="n">
        <v>9</v>
      </c>
      <c r="K24" s="3" t="n">
        <v>10</v>
      </c>
      <c r="L24" s="3" t="n">
        <v>11</v>
      </c>
      <c r="M24" s="3" t="n">
        <v>12</v>
      </c>
      <c r="N24" s="3" t="inlineStr">
        <is>
          <t>Total 12 m</t>
        </is>
      </c>
    </row>
    <row r="25">
      <c r="A25" t="inlineStr">
        <is>
          <t>Unidades</t>
        </is>
      </c>
      <c r="B25">
        <f>'I2 Supuestos'!$B$34*(1+'I2 Supuestos'!$C$34)^(1-1)</f>
        <v/>
      </c>
      <c r="C25">
        <f>'I2 Supuestos'!$B$34*(1+'I2 Supuestos'!$C$34)^(2-1)</f>
        <v/>
      </c>
      <c r="D25">
        <f>'I2 Supuestos'!$B$34*(1+'I2 Supuestos'!$C$34)^(3-1)</f>
        <v/>
      </c>
      <c r="E25">
        <f>'I2 Supuestos'!$B$34*(1+'I2 Supuestos'!$C$34)^(4-1)</f>
        <v/>
      </c>
      <c r="F25">
        <f>'I2 Supuestos'!$B$34*(1+'I2 Supuestos'!$C$34)^(5-1)</f>
        <v/>
      </c>
      <c r="G25">
        <f>'I2 Supuestos'!$B$34*(1+'I2 Supuestos'!$C$34)^(6-1)</f>
        <v/>
      </c>
      <c r="H25">
        <f>'I2 Supuestos'!$B$34*(1+'I2 Supuestos'!$C$34)^(7-1)</f>
        <v/>
      </c>
      <c r="I25">
        <f>'I2 Supuestos'!$B$34*(1+'I2 Supuestos'!$C$34)^(8-1)</f>
        <v/>
      </c>
      <c r="J25">
        <f>'I2 Supuestos'!$B$34*(1+'I2 Supuestos'!$C$34)^(9-1)</f>
        <v/>
      </c>
      <c r="K25">
        <f>'I2 Supuestos'!$B$34*(1+'I2 Supuestos'!$C$34)^(10-1)</f>
        <v/>
      </c>
      <c r="L25">
        <f>'I2 Supuestos'!$B$34*(1+'I2 Supuestos'!$C$34)^(11-1)</f>
        <v/>
      </c>
      <c r="M25">
        <f>'I2 Supuestos'!$B$34*(1+'I2 Supuestos'!$C$34)^(12-1)</f>
        <v/>
      </c>
      <c r="N25">
        <f>SUM(B25:M25)</f>
        <v/>
      </c>
    </row>
    <row r="26">
      <c r="A26" t="inlineStr">
        <is>
          <t>Ingresos netos</t>
        </is>
      </c>
      <c r="B26">
        <f>B25*$B$20</f>
        <v/>
      </c>
      <c r="C26">
        <f>C25*$B$20</f>
        <v/>
      </c>
      <c r="D26">
        <f>D25*$B$20</f>
        <v/>
      </c>
      <c r="E26">
        <f>E25*$B$20</f>
        <v/>
      </c>
      <c r="F26">
        <f>F25*$B$20</f>
        <v/>
      </c>
      <c r="G26">
        <f>G25*$B$20</f>
        <v/>
      </c>
      <c r="H26">
        <f>H25*$B$20</f>
        <v/>
      </c>
      <c r="I26">
        <f>I25*$B$20</f>
        <v/>
      </c>
      <c r="J26">
        <f>J25*$B$20</f>
        <v/>
      </c>
      <c r="K26">
        <f>K25*$B$20</f>
        <v/>
      </c>
      <c r="L26">
        <f>L25*$B$20</f>
        <v/>
      </c>
      <c r="M26">
        <f>M25*$B$20</f>
        <v/>
      </c>
      <c r="N26">
        <f>SUM(B26:M26)</f>
        <v/>
      </c>
    </row>
    <row r="27">
      <c r="A27" t="inlineStr">
        <is>
          <t>Costos variables</t>
        </is>
      </c>
      <c r="B27">
        <f>B25*$B$21</f>
        <v/>
      </c>
      <c r="C27">
        <f>C25*$B$21</f>
        <v/>
      </c>
      <c r="D27">
        <f>D25*$B$21</f>
        <v/>
      </c>
      <c r="E27">
        <f>E25*$B$21</f>
        <v/>
      </c>
      <c r="F27">
        <f>F25*$B$21</f>
        <v/>
      </c>
      <c r="G27">
        <f>G25*$B$21</f>
        <v/>
      </c>
      <c r="H27">
        <f>H25*$B$21</f>
        <v/>
      </c>
      <c r="I27">
        <f>I25*$B$21</f>
        <v/>
      </c>
      <c r="J27">
        <f>J25*$B$21</f>
        <v/>
      </c>
      <c r="K27">
        <f>K25*$B$21</f>
        <v/>
      </c>
      <c r="L27">
        <f>L25*$B$21</f>
        <v/>
      </c>
      <c r="M27">
        <f>M25*$B$21</f>
        <v/>
      </c>
      <c r="N27">
        <f>SUM(B27:M27)</f>
        <v/>
      </c>
    </row>
    <row r="28">
      <c r="A28" t="inlineStr">
        <is>
          <t>Costos fijos</t>
        </is>
      </c>
      <c r="B28">
        <f>$B$22</f>
        <v/>
      </c>
      <c r="C28">
        <f>$B$22</f>
        <v/>
      </c>
      <c r="D28">
        <f>$B$22</f>
        <v/>
      </c>
      <c r="E28">
        <f>$B$22</f>
        <v/>
      </c>
      <c r="F28">
        <f>$B$22</f>
        <v/>
      </c>
      <c r="G28">
        <f>$B$22</f>
        <v/>
      </c>
      <c r="H28">
        <f>$B$22</f>
        <v/>
      </c>
      <c r="I28">
        <f>$B$22</f>
        <v/>
      </c>
      <c r="J28">
        <f>$B$22</f>
        <v/>
      </c>
      <c r="K28">
        <f>$B$22</f>
        <v/>
      </c>
      <c r="L28">
        <f>$B$22</f>
        <v/>
      </c>
      <c r="M28">
        <f>$B$22</f>
        <v/>
      </c>
      <c r="N28">
        <f>SUM(B28:M28)</f>
        <v/>
      </c>
    </row>
    <row r="29">
      <c r="A29" t="inlineStr">
        <is>
          <t>Flujo neto</t>
        </is>
      </c>
      <c r="B29">
        <f>B26-B27-B28</f>
        <v/>
      </c>
      <c r="C29">
        <f>C26-C27-C28</f>
        <v/>
      </c>
      <c r="D29">
        <f>D26-D27-D28</f>
        <v/>
      </c>
      <c r="E29">
        <f>E26-E27-E28</f>
        <v/>
      </c>
      <c r="F29">
        <f>F26-F27-F28</f>
        <v/>
      </c>
      <c r="G29">
        <f>G26-G27-G28</f>
        <v/>
      </c>
      <c r="H29">
        <f>H26-H27-H28</f>
        <v/>
      </c>
      <c r="I29">
        <f>I26-I27-I28</f>
        <v/>
      </c>
      <c r="J29">
        <f>J26-J27-J28</f>
        <v/>
      </c>
      <c r="K29">
        <f>K26-K27-K28</f>
        <v/>
      </c>
      <c r="L29">
        <f>L26-L27-L28</f>
        <v/>
      </c>
      <c r="M29">
        <f>M26-M27-M28</f>
        <v/>
      </c>
      <c r="N29">
        <f>SUM(B29:M29)</f>
        <v/>
      </c>
    </row>
    <row r="30">
      <c r="A30" t="inlineStr">
        <is>
          <t>Acumulado (tras inversión)</t>
        </is>
      </c>
      <c r="B30">
        <f>-$B$23+B29</f>
        <v/>
      </c>
      <c r="C30">
        <f>B30+C29</f>
        <v/>
      </c>
      <c r="D30">
        <f>C30+D29</f>
        <v/>
      </c>
      <c r="E30">
        <f>D30+E29</f>
        <v/>
      </c>
      <c r="F30">
        <f>E30+F29</f>
        <v/>
      </c>
      <c r="G30">
        <f>F30+G29</f>
        <v/>
      </c>
      <c r="H30">
        <f>G30+H29</f>
        <v/>
      </c>
      <c r="I30">
        <f>H30+I29</f>
        <v/>
      </c>
      <c r="J30">
        <f>I30+J29</f>
        <v/>
      </c>
      <c r="K30">
        <f>J30+K29</f>
        <v/>
      </c>
      <c r="L30">
        <f>K30+L29</f>
        <v/>
      </c>
      <c r="M30">
        <f>L30+M29</f>
        <v/>
      </c>
      <c r="N30" s="2">
        <f>M30</f>
        <v/>
      </c>
    </row>
    <row r="31">
      <c r="A31" t="inlineStr">
        <is>
          <t>Mes en que acumulado ≥ 0</t>
        </is>
      </c>
      <c r="B31">
        <f>IF(B30&gt;=0,1,"")</f>
        <v/>
      </c>
      <c r="C31">
        <f>IF(C30&gt;=0,2,"")</f>
        <v/>
      </c>
      <c r="D31">
        <f>IF(D30&gt;=0,3,"")</f>
        <v/>
      </c>
      <c r="E31">
        <f>IF(E30&gt;=0,4,"")</f>
        <v/>
      </c>
      <c r="F31">
        <f>IF(F30&gt;=0,5,"")</f>
        <v/>
      </c>
      <c r="G31">
        <f>IF(G30&gt;=0,6,"")</f>
        <v/>
      </c>
      <c r="H31">
        <f>IF(H30&gt;=0,7,"")</f>
        <v/>
      </c>
      <c r="I31">
        <f>IF(I30&gt;=0,8,"")</f>
        <v/>
      </c>
      <c r="J31">
        <f>IF(J30&gt;=0,9,"")</f>
        <v/>
      </c>
      <c r="K31">
        <f>IF(K30&gt;=0,10,"")</f>
        <v/>
      </c>
      <c r="L31">
        <f>IF(L30&gt;=0,11,"")</f>
        <v/>
      </c>
      <c r="M31">
        <f>IF(M30&gt;=0,12,"")</f>
        <v/>
      </c>
      <c r="N31" s="2">
        <f>IF(COUNT(B31:M31)=0,"no en 12 meses",MIN(B31:M31))</f>
        <v/>
      </c>
    </row>
    <row r="33">
      <c r="A33" s="2" t="inlineStr">
        <is>
          <t>Escenario optimista</t>
        </is>
      </c>
    </row>
    <row r="34">
      <c r="A34" t="inlineStr">
        <is>
          <t>Precio escenario</t>
        </is>
      </c>
      <c r="B34">
        <f>'I2 Supuestos'!$B$4*'I2 Supuestos'!$D$35</f>
        <v/>
      </c>
    </row>
    <row r="35">
      <c r="A35" t="inlineStr">
        <is>
          <t>Ingreso neto unitario</t>
        </is>
      </c>
      <c r="B35">
        <f>IF('I2 Supuestos'!$B$5=1,B34/(1+'I2 Supuestos'!$B$6),B34)</f>
        <v/>
      </c>
    </row>
    <row r="36">
      <c r="A36" t="inlineStr">
        <is>
          <t>Costo variable total unitario</t>
        </is>
      </c>
      <c r="B36">
        <f>'I2 Supuestos'!$B$29+B34*'I2 Supuestos'!$B$7+'I2 Supuestos'!$B$8+B35*'I2 Supuestos'!$B$9</f>
        <v/>
      </c>
    </row>
    <row r="37">
      <c r="A37" t="inlineStr">
        <is>
          <t>Costos fijos mensuales</t>
        </is>
      </c>
      <c r="B37">
        <f>'I2 Supuestos'!$B$23</f>
        <v/>
      </c>
    </row>
    <row r="38">
      <c r="A38" t="inlineStr">
        <is>
          <t>Inversión inicial</t>
        </is>
      </c>
      <c r="B38">
        <f>'I2 Supuestos'!$B$17</f>
        <v/>
      </c>
    </row>
    <row r="39">
      <c r="A39" s="3" t="inlineStr">
        <is>
          <t>Mes</t>
        </is>
      </c>
      <c r="B39" s="3" t="n">
        <v>1</v>
      </c>
      <c r="C39" s="3" t="n">
        <v>2</v>
      </c>
      <c r="D39" s="3" t="n">
        <v>3</v>
      </c>
      <c r="E39" s="3" t="n">
        <v>4</v>
      </c>
      <c r="F39" s="3" t="n">
        <v>5</v>
      </c>
      <c r="G39" s="3" t="n">
        <v>6</v>
      </c>
      <c r="H39" s="3" t="n">
        <v>7</v>
      </c>
      <c r="I39" s="3" t="n">
        <v>8</v>
      </c>
      <c r="J39" s="3" t="n">
        <v>9</v>
      </c>
      <c r="K39" s="3" t="n">
        <v>10</v>
      </c>
      <c r="L39" s="3" t="n">
        <v>11</v>
      </c>
      <c r="M39" s="3" t="n">
        <v>12</v>
      </c>
      <c r="N39" s="3" t="inlineStr">
        <is>
          <t>Total 12 m</t>
        </is>
      </c>
    </row>
    <row r="40">
      <c r="A40" t="inlineStr">
        <is>
          <t>Unidades</t>
        </is>
      </c>
      <c r="B40">
        <f>'I2 Supuestos'!$B$35*(1+'I2 Supuestos'!$C$35)^(1-1)</f>
        <v/>
      </c>
      <c r="C40">
        <f>'I2 Supuestos'!$B$35*(1+'I2 Supuestos'!$C$35)^(2-1)</f>
        <v/>
      </c>
      <c r="D40">
        <f>'I2 Supuestos'!$B$35*(1+'I2 Supuestos'!$C$35)^(3-1)</f>
        <v/>
      </c>
      <c r="E40">
        <f>'I2 Supuestos'!$B$35*(1+'I2 Supuestos'!$C$35)^(4-1)</f>
        <v/>
      </c>
      <c r="F40">
        <f>'I2 Supuestos'!$B$35*(1+'I2 Supuestos'!$C$35)^(5-1)</f>
        <v/>
      </c>
      <c r="G40">
        <f>'I2 Supuestos'!$B$35*(1+'I2 Supuestos'!$C$35)^(6-1)</f>
        <v/>
      </c>
      <c r="H40">
        <f>'I2 Supuestos'!$B$35*(1+'I2 Supuestos'!$C$35)^(7-1)</f>
        <v/>
      </c>
      <c r="I40">
        <f>'I2 Supuestos'!$B$35*(1+'I2 Supuestos'!$C$35)^(8-1)</f>
        <v/>
      </c>
      <c r="J40">
        <f>'I2 Supuestos'!$B$35*(1+'I2 Supuestos'!$C$35)^(9-1)</f>
        <v/>
      </c>
      <c r="K40">
        <f>'I2 Supuestos'!$B$35*(1+'I2 Supuestos'!$C$35)^(10-1)</f>
        <v/>
      </c>
      <c r="L40">
        <f>'I2 Supuestos'!$B$35*(1+'I2 Supuestos'!$C$35)^(11-1)</f>
        <v/>
      </c>
      <c r="M40">
        <f>'I2 Supuestos'!$B$35*(1+'I2 Supuestos'!$C$35)^(12-1)</f>
        <v/>
      </c>
      <c r="N40">
        <f>SUM(B40:M40)</f>
        <v/>
      </c>
    </row>
    <row r="41">
      <c r="A41" t="inlineStr">
        <is>
          <t>Ingresos netos</t>
        </is>
      </c>
      <c r="B41">
        <f>B40*$B$35</f>
        <v/>
      </c>
      <c r="C41">
        <f>C40*$B$35</f>
        <v/>
      </c>
      <c r="D41">
        <f>D40*$B$35</f>
        <v/>
      </c>
      <c r="E41">
        <f>E40*$B$35</f>
        <v/>
      </c>
      <c r="F41">
        <f>F40*$B$35</f>
        <v/>
      </c>
      <c r="G41">
        <f>G40*$B$35</f>
        <v/>
      </c>
      <c r="H41">
        <f>H40*$B$35</f>
        <v/>
      </c>
      <c r="I41">
        <f>I40*$B$35</f>
        <v/>
      </c>
      <c r="J41">
        <f>J40*$B$35</f>
        <v/>
      </c>
      <c r="K41">
        <f>K40*$B$35</f>
        <v/>
      </c>
      <c r="L41">
        <f>L40*$B$35</f>
        <v/>
      </c>
      <c r="M41">
        <f>M40*$B$35</f>
        <v/>
      </c>
      <c r="N41">
        <f>SUM(B41:M41)</f>
        <v/>
      </c>
    </row>
    <row r="42">
      <c r="A42" t="inlineStr">
        <is>
          <t>Costos variables</t>
        </is>
      </c>
      <c r="B42">
        <f>B40*$B$36</f>
        <v/>
      </c>
      <c r="C42">
        <f>C40*$B$36</f>
        <v/>
      </c>
      <c r="D42">
        <f>D40*$B$36</f>
        <v/>
      </c>
      <c r="E42">
        <f>E40*$B$36</f>
        <v/>
      </c>
      <c r="F42">
        <f>F40*$B$36</f>
        <v/>
      </c>
      <c r="G42">
        <f>G40*$B$36</f>
        <v/>
      </c>
      <c r="H42">
        <f>H40*$B$36</f>
        <v/>
      </c>
      <c r="I42">
        <f>I40*$B$36</f>
        <v/>
      </c>
      <c r="J42">
        <f>J40*$B$36</f>
        <v/>
      </c>
      <c r="K42">
        <f>K40*$B$36</f>
        <v/>
      </c>
      <c r="L42">
        <f>L40*$B$36</f>
        <v/>
      </c>
      <c r="M42">
        <f>M40*$B$36</f>
        <v/>
      </c>
      <c r="N42">
        <f>SUM(B42:M42)</f>
        <v/>
      </c>
    </row>
    <row r="43">
      <c r="A43" t="inlineStr">
        <is>
          <t>Costos fijos</t>
        </is>
      </c>
      <c r="B43">
        <f>$B$37</f>
        <v/>
      </c>
      <c r="C43">
        <f>$B$37</f>
        <v/>
      </c>
      <c r="D43">
        <f>$B$37</f>
        <v/>
      </c>
      <c r="E43">
        <f>$B$37</f>
        <v/>
      </c>
      <c r="F43">
        <f>$B$37</f>
        <v/>
      </c>
      <c r="G43">
        <f>$B$37</f>
        <v/>
      </c>
      <c r="H43">
        <f>$B$37</f>
        <v/>
      </c>
      <c r="I43">
        <f>$B$37</f>
        <v/>
      </c>
      <c r="J43">
        <f>$B$37</f>
        <v/>
      </c>
      <c r="K43">
        <f>$B$37</f>
        <v/>
      </c>
      <c r="L43">
        <f>$B$37</f>
        <v/>
      </c>
      <c r="M43">
        <f>$B$37</f>
        <v/>
      </c>
      <c r="N43">
        <f>SUM(B43:M43)</f>
        <v/>
      </c>
    </row>
    <row r="44">
      <c r="A44" t="inlineStr">
        <is>
          <t>Flujo neto</t>
        </is>
      </c>
      <c r="B44">
        <f>B41-B42-B43</f>
        <v/>
      </c>
      <c r="C44">
        <f>C41-C42-C43</f>
        <v/>
      </c>
      <c r="D44">
        <f>D41-D42-D43</f>
        <v/>
      </c>
      <c r="E44">
        <f>E41-E42-E43</f>
        <v/>
      </c>
      <c r="F44">
        <f>F41-F42-F43</f>
        <v/>
      </c>
      <c r="G44">
        <f>G41-G42-G43</f>
        <v/>
      </c>
      <c r="H44">
        <f>H41-H42-H43</f>
        <v/>
      </c>
      <c r="I44">
        <f>I41-I42-I43</f>
        <v/>
      </c>
      <c r="J44">
        <f>J41-J42-J43</f>
        <v/>
      </c>
      <c r="K44">
        <f>K41-K42-K43</f>
        <v/>
      </c>
      <c r="L44">
        <f>L41-L42-L43</f>
        <v/>
      </c>
      <c r="M44">
        <f>M41-M42-M43</f>
        <v/>
      </c>
      <c r="N44">
        <f>SUM(B44:M44)</f>
        <v/>
      </c>
    </row>
    <row r="45">
      <c r="A45" t="inlineStr">
        <is>
          <t>Acumulado (tras inversión)</t>
        </is>
      </c>
      <c r="B45">
        <f>-$B$38+B44</f>
        <v/>
      </c>
      <c r="C45">
        <f>B45+C44</f>
        <v/>
      </c>
      <c r="D45">
        <f>C45+D44</f>
        <v/>
      </c>
      <c r="E45">
        <f>D45+E44</f>
        <v/>
      </c>
      <c r="F45">
        <f>E45+F44</f>
        <v/>
      </c>
      <c r="G45">
        <f>F45+G44</f>
        <v/>
      </c>
      <c r="H45">
        <f>G45+H44</f>
        <v/>
      </c>
      <c r="I45">
        <f>H45+I44</f>
        <v/>
      </c>
      <c r="J45">
        <f>I45+J44</f>
        <v/>
      </c>
      <c r="K45">
        <f>J45+K44</f>
        <v/>
      </c>
      <c r="L45">
        <f>K45+L44</f>
        <v/>
      </c>
      <c r="M45">
        <f>L45+M44</f>
        <v/>
      </c>
      <c r="N45" s="2">
        <f>M45</f>
        <v/>
      </c>
    </row>
    <row r="46">
      <c r="A46" t="inlineStr">
        <is>
          <t>Mes en que acumulado ≥ 0</t>
        </is>
      </c>
      <c r="B46">
        <f>IF(B45&gt;=0,1,"")</f>
        <v/>
      </c>
      <c r="C46">
        <f>IF(C45&gt;=0,2,"")</f>
        <v/>
      </c>
      <c r="D46">
        <f>IF(D45&gt;=0,3,"")</f>
        <v/>
      </c>
      <c r="E46">
        <f>IF(E45&gt;=0,4,"")</f>
        <v/>
      </c>
      <c r="F46">
        <f>IF(F45&gt;=0,5,"")</f>
        <v/>
      </c>
      <c r="G46">
        <f>IF(G45&gt;=0,6,"")</f>
        <v/>
      </c>
      <c r="H46">
        <f>IF(H45&gt;=0,7,"")</f>
        <v/>
      </c>
      <c r="I46">
        <f>IF(I45&gt;=0,8,"")</f>
        <v/>
      </c>
      <c r="J46">
        <f>IF(J45&gt;=0,9,"")</f>
        <v/>
      </c>
      <c r="K46">
        <f>IF(K45&gt;=0,10,"")</f>
        <v/>
      </c>
      <c r="L46">
        <f>IF(L45&gt;=0,11,"")</f>
        <v/>
      </c>
      <c r="M46">
        <f>IF(M45&gt;=0,12,"")</f>
        <v/>
      </c>
      <c r="N46" s="2">
        <f>IF(COUNT(B46:M46)=0,"no en 12 meses",MIN(B46:M46))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2" t="inlineStr">
        <is>
          <t>Sensibilidad — EJEMPLO B — producto físico — escenario base, ±20 % una variable a la vez</t>
        </is>
      </c>
    </row>
    <row r="2">
      <c r="A2" t="inlineStr">
        <is>
          <t>Resultado 12 m = Σ unidades × margen unitario − 12 × fijos − inversión; Σ unidades = u1·((1+g)^12−1)/g</t>
        </is>
      </c>
    </row>
    <row r="3">
      <c r="A3" t="inlineStr">
        <is>
          <t>Variación</t>
        </is>
      </c>
      <c r="B3" s="5" t="n">
        <v>0.2</v>
      </c>
    </row>
    <row r="4">
      <c r="A4" s="3" t="inlineStr">
        <is>
          <t>Variable</t>
        </is>
      </c>
      <c r="B4" s="3" t="inlineStr">
        <is>
          <t>Valor base</t>
        </is>
      </c>
      <c r="C4" s="3" t="inlineStr">
        <is>
          <t>Resultado base</t>
        </is>
      </c>
      <c r="D4" s="3" t="inlineStr">
        <is>
          <t>Resultado −var</t>
        </is>
      </c>
      <c r="E4" s="3" t="inlineStr">
        <is>
          <t>Resultado +var</t>
        </is>
      </c>
      <c r="F4" s="3" t="inlineStr">
        <is>
          <t>Rango (abs)</t>
        </is>
      </c>
    </row>
    <row r="5">
      <c r="A5" t="inlineStr">
        <is>
          <t>precio</t>
        </is>
      </c>
      <c r="B5">
        <f>'I2 Supuestos'!$B$4</f>
        <v/>
      </c>
      <c r="C5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D5">
        <f>IF('I2 Supuestos'!$C$34=0,12*'I2 Supuestos'!$B$34,'I2 Supuestos'!$B$34*((1+'I2 Supuestos'!$C$34)^12-1)/'I2 Supuestos'!$C$34)*(IF('I2 Supuestos'!$B$5=1,(('I2 Supuestos'!$B$4*(1-$B$3))*'I2 Supuestos'!$D$34)/(1+'I2 Supuestos'!$B$6),(('I2 Supuestos'!$B$4*(1-$B$3))*'I2 Supuestos'!$D$34))-('I2 Supuestos'!$B$29+(('I2 Supuestos'!$B$4*(1-$B$3))*'I2 Supuestos'!$D$34)*'I2 Supuestos'!$B$7+'I2 Supuestos'!$B$8+IF('I2 Supuestos'!$B$5=1,(('I2 Supuestos'!$B$4*(1-$B$3))*'I2 Supuestos'!$D$34)/(1+'I2 Supuestos'!$B$6),(('I2 Supuestos'!$B$4*(1-$B$3))*'I2 Supuestos'!$D$34))*'I2 Supuestos'!$B$9))-12*'I2 Supuestos'!$B$23-'I2 Supuestos'!$B$17</f>
        <v/>
      </c>
      <c r="E5">
        <f>IF('I2 Supuestos'!$C$34=0,12*'I2 Supuestos'!$B$34,'I2 Supuestos'!$B$34*((1+'I2 Supuestos'!$C$34)^12-1)/'I2 Supuestos'!$C$34)*(IF('I2 Supuestos'!$B$5=1,(('I2 Supuestos'!$B$4*(1+$B$3))*'I2 Supuestos'!$D$34)/(1+'I2 Supuestos'!$B$6),(('I2 Supuestos'!$B$4*(1+$B$3))*'I2 Supuestos'!$D$34))-('I2 Supuestos'!$B$29+(('I2 Supuestos'!$B$4*(1+$B$3))*'I2 Supuestos'!$D$34)*'I2 Supuestos'!$B$7+'I2 Supuestos'!$B$8+IF('I2 Supuestos'!$B$5=1,(('I2 Supuestos'!$B$4*(1+$B$3))*'I2 Supuestos'!$D$34)/(1+'I2 Supuestos'!$B$6),(('I2 Supuestos'!$B$4*(1+$B$3))*'I2 Supuestos'!$D$34))*'I2 Supuestos'!$B$9))-12*'I2 Supuestos'!$B$23-'I2 Supuestos'!$B$17</f>
        <v/>
      </c>
      <c r="F5">
        <f>ABS(E5-D5)</f>
        <v/>
      </c>
    </row>
    <row r="6">
      <c r="A6" t="inlineStr">
        <is>
          <t>unidades_mes1</t>
        </is>
      </c>
      <c r="B6">
        <f>'I2 Supuestos'!$B$34</f>
        <v/>
      </c>
      <c r="C6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D6">
        <f>IF('I2 Supuestos'!$C$34=0,12*('I2 Supuestos'!$B$34*(1-$B$3)),('I2 Supuestos'!$B$34*(1-$B$3))*((1+'I2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E6">
        <f>IF('I2 Supuestos'!$C$34=0,12*('I2 Supuestos'!$B$34*(1+$B$3)),('I2 Supuestos'!$B$34*(1+$B$3))*((1+'I2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F6">
        <f>ABS(E6-D6)</f>
        <v/>
      </c>
    </row>
    <row r="7">
      <c r="A7" t="inlineStr">
        <is>
          <t>crecimiento</t>
        </is>
      </c>
      <c r="B7">
        <f>'I2 Supuestos'!$C$34</f>
        <v/>
      </c>
      <c r="C7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D7">
        <f>IF(('I2 Supuestos'!$C$34*(1-$B$3))=0,12*'I2 Supuestos'!$B$34,'I2 Supuestos'!$B$34*((1+('I2 Supuestos'!$C$34*(1-$B$3)))^12-1)/('I2 Supuestos'!$C$34*(1-$B$3)))*(IF('I2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E7">
        <f>IF(('I2 Supuestos'!$C$34*(1+$B$3))=0,12*'I2 Supuestos'!$B$34,'I2 Supuestos'!$B$34*((1+('I2 Supuestos'!$C$34*(1+$B$3)))^12-1)/('I2 Supuestos'!$C$34*(1+$B$3)))*(IF('I2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F7">
        <f>ABS(E7-D7)</f>
        <v/>
      </c>
    </row>
    <row r="8">
      <c r="A8" t="inlineStr">
        <is>
          <t>cv_directo</t>
        </is>
      </c>
      <c r="B8">
        <f>'I2 Supuestos'!$B$29</f>
        <v/>
      </c>
      <c r="C8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D8">
        <f>IF('I2 Supuestos'!$C$34=0,12*'I2 Supuestos'!$B$34,'I2 Supuestos'!$B$34*((1+'I2 Supuestos'!$C$34)^12-1)/'I2 Supuestos'!$C$34)*(IF('I2 Supuestos'!$B$5=1,('I2 Supuestos'!$B$4*'I2 Supuestos'!$D$34)/(1+'I2 Supuestos'!$B$6),('I2 Supuestos'!$B$4*'I2 Supuestos'!$D$34))-(('I2 Supuestos'!$B$29*(1-$B$3))+('I2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E8">
        <f>IF('I2 Supuestos'!$C$34=0,12*'I2 Supuestos'!$B$34,'I2 Supuestos'!$B$34*((1+'I2 Supuestos'!$C$34)^12-1)/'I2 Supuestos'!$C$34)*(IF('I2 Supuestos'!$B$5=1,('I2 Supuestos'!$B$4*'I2 Supuestos'!$D$34)/(1+'I2 Supuestos'!$B$6),('I2 Supuestos'!$B$4*'I2 Supuestos'!$D$34))-(('I2 Supuestos'!$B$29*(1+$B$3))+('I2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F8">
        <f>ABS(E8-D8)</f>
        <v/>
      </c>
    </row>
    <row r="9">
      <c r="A9" t="inlineStr">
        <is>
          <t>fijos</t>
        </is>
      </c>
      <c r="B9">
        <f>'I2 Supuestos'!$B$23</f>
        <v/>
      </c>
      <c r="C9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D9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Supuestos'!$B$9))-12*('I2 Supuestos'!$B$23*(1-$B$3))-'I2 Supuestos'!$B$17</f>
        <v/>
      </c>
      <c r="E9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Supuestos'!$B$9))-12*('I2 Supuestos'!$B$23*(1+$B$3))-'I2 Supuestos'!$B$17</f>
        <v/>
      </c>
      <c r="F9">
        <f>ABS(E9-D9)</f>
        <v/>
      </c>
    </row>
    <row r="10">
      <c r="A10" t="inlineStr">
        <is>
          <t>inversion</t>
        </is>
      </c>
      <c r="B10">
        <f>'I2 Supuestos'!$B$17</f>
        <v/>
      </c>
      <c r="C10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D10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Supuestos'!$B$23-('I2 Supuestos'!$B$17*(1-$B$3))</f>
        <v/>
      </c>
      <c r="E10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Supuestos'!$B$23-('I2 Supuestos'!$B$17*(1+$B$3))</f>
        <v/>
      </c>
      <c r="F10">
        <f>ABS(E10-D10)</f>
        <v/>
      </c>
    </row>
    <row r="11">
      <c r="A11" t="inlineStr">
        <is>
          <t>tasa_pasarela</t>
        </is>
      </c>
      <c r="B11">
        <f>'I2 Supuestos'!$B$7</f>
        <v/>
      </c>
      <c r="C11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D11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Supuestos'!$D$34)*('I2 Supuestos'!$B$7*(1-$B$3))+'I2 Supuestos'!$B$8+IF('I2 Supuestos'!$B$5=1,('I2 Supuestos'!$B$4*'I2 Supuestos'!$D$34)/(1+'I2 Supuestos'!$B$6),('I2 Supuestos'!$B$4*'I2 Supuestos'!$D$34))*'I2 Supuestos'!$B$9))-12*'I2 Supuestos'!$B$23-'I2 Supuestos'!$B$17</f>
        <v/>
      </c>
      <c r="E11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Supuestos'!$D$34)*('I2 Supuestos'!$B$7*(1+$B$3))+'I2 Supuestos'!$B$8+IF('I2 Supuestos'!$B$5=1,('I2 Supuestos'!$B$4*'I2 Supuestos'!$D$34)/(1+'I2 Supuestos'!$B$6),('I2 Supuestos'!$B$4*'I2 Supuestos'!$D$34))*'I2 Supuestos'!$B$9))-12*'I2 Supuestos'!$B$23-'I2 Supuestos'!$B$17</f>
        <v/>
      </c>
      <c r="F11">
        <f>ABS(E11-D11)</f>
        <v/>
      </c>
    </row>
    <row r="12">
      <c r="A12" t="inlineStr">
        <is>
          <t>tasa_impuesto_renta</t>
        </is>
      </c>
      <c r="B12">
        <f>'I2 Supuestos'!$B$9</f>
        <v/>
      </c>
      <c r="C12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Supuestos'!$D$34))*'I2 Supuestos'!$B$9))-12*'I2 Supuestos'!$B$23-'I2 Supuestos'!$B$17</f>
        <v/>
      </c>
      <c r="D12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Supuestos'!$D$34))*('I2 Supuestos'!$B$9*(1-$B$3))))-12*'I2 Supuestos'!$B$23-'I2 Supuestos'!$B$17</f>
        <v/>
      </c>
      <c r="E12">
        <f>IF('I2 Supuestos'!$C$34=0,12*'I2 Supuestos'!$B$34,'I2 Supuestos'!$B$34*((1+'I2 Supuestos'!$C$34)^12-1)/'I2 Supuestos'!$C$34)*(IF('I2 Supuestos'!$B$5=1,('I2 Supuestos'!$B$4*'I2 Supuestos'!$D$34)/(1+'I2 Supuestos'!$B$6),('I2 Supuestos'!$B$4*'I2 Supuestos'!$D$34))-('I2 Supuestos'!$B$29+('I2 Supuestos'!$B$4*'I2 Supuestos'!$D$34)*'I2 Supuestos'!$B$7+'I2 Supuestos'!$B$8+IF('I2 Supuestos'!$B$5=1,('I2 Supuestos'!$B$4*'I2 Supuestos'!$D$34)/(1+'I2 Supuestos'!$B$6),('I2 Supuestos'!$B$4*'I2 Supuestos'!$D$34))*('I2 Supuestos'!$B$9*(1+$B$3))))-12*'I2 Supuestos'!$B$23-'I2 Supuestos'!$B$17</f>
        <v/>
      </c>
      <c r="F12">
        <f>ABS(E12-D12)</f>
        <v/>
      </c>
    </row>
    <row r="14">
      <c r="A14" t="inlineStr">
        <is>
          <t>La variable con mayor 'Rango' es la que más mueve el resultado.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2026-10-21T02:34:33Z</dcterms:created>
  <dcterms:modified xmlns:dcterms="http://purl.org/dc/terms/" xmlns:xsi="http://www.w3.org/2001/XMLSchema-instance" xsi:type="dcterms:W3CDTF">2026-10-21T02:34:33Z</dcterms:modified>
</cp:coreProperties>
</file>