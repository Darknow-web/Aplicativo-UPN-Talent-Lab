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EEME" sheetId="1" state="visible" r:id="rId1"/>
    <sheet xmlns:r="http://schemas.openxmlformats.org/officeDocument/2006/relationships" name="Comparacion" sheetId="2" state="visible" r:id="rId2"/>
    <sheet xmlns:r="http://schemas.openxmlformats.org/officeDocument/2006/relationships" name="Globales" sheetId="3" state="visible" r:id="rId3"/>
    <sheet xmlns:r="http://schemas.openxmlformats.org/officeDocument/2006/relationships" name="I1 Supuestos" sheetId="4" state="visible" r:id="rId4"/>
    <sheet xmlns:r="http://schemas.openxmlformats.org/officeDocument/2006/relationships" name="I1 Unitario" sheetId="5" state="visible" r:id="rId5"/>
    <sheet xmlns:r="http://schemas.openxmlformats.org/officeDocument/2006/relationships" name="I1 Flujo" sheetId="6" state="visible" r:id="rId6"/>
    <sheet xmlns:r="http://schemas.openxmlformats.org/officeDocument/2006/relationships" name="I1 Sensibilidad" sheetId="7" state="visible" r:id="rId7"/>
    <sheet xmlns:r="http://schemas.openxmlformats.org/officeDocument/2006/relationships" name="I2 Supuestos" sheetId="8" state="visible" r:id="rId8"/>
    <sheet xmlns:r="http://schemas.openxmlformats.org/officeDocument/2006/relationships" name="I2 Unitario" sheetId="9" state="visible" r:id="rId9"/>
    <sheet xmlns:r="http://schemas.openxmlformats.org/officeDocument/2006/relationships" name="I2 Flujo" sheetId="10" state="visible" r:id="rId10"/>
    <sheet xmlns:r="http://schemas.openxmlformats.org/officeDocument/2006/relationships" name="I2 Sensibilidad" sheetId="11" state="visible" r:id="rId11"/>
    <sheet xmlns:r="http://schemas.openxmlformats.org/officeDocument/2006/relationships" name="I3 Supuestos" sheetId="12" state="visible" r:id="rId12"/>
    <sheet xmlns:r="http://schemas.openxmlformats.org/officeDocument/2006/relationships" name="I3 Unitario" sheetId="13" state="visible" r:id="rId13"/>
    <sheet xmlns:r="http://schemas.openxmlformats.org/officeDocument/2006/relationships" name="I3 Flujo" sheetId="14" state="visible" r:id="rId14"/>
    <sheet xmlns:r="http://schemas.openxmlformats.org/officeDocument/2006/relationships" name="I3 Sensibilidad" sheetId="15" state="visible" r:id="rId15"/>
    <sheet xmlns:r="http://schemas.openxmlformats.org/officeDocument/2006/relationships" name="I4 Supuestos" sheetId="16" state="visible" r:id="rId16"/>
    <sheet xmlns:r="http://schemas.openxmlformats.org/officeDocument/2006/relationships" name="I4 Unitario" sheetId="17" state="visible" r:id="rId17"/>
    <sheet xmlns:r="http://schemas.openxmlformats.org/officeDocument/2006/relationships" name="I4 Flujo" sheetId="18" state="visible" r:id="rId18"/>
    <sheet xmlns:r="http://schemas.openxmlformats.org/officeDocument/2006/relationships" name="I4 Sensibilidad" sheetId="19" state="visible" r:id="rId19"/>
    <sheet xmlns:r="http://schemas.openxmlformats.org/officeDocument/2006/relationships" name="I5 Supuestos" sheetId="20" state="visible" r:id="rId20"/>
    <sheet xmlns:r="http://schemas.openxmlformats.org/officeDocument/2006/relationships" name="I5 Unitario" sheetId="21" state="visible" r:id="rId21"/>
    <sheet xmlns:r="http://schemas.openxmlformats.org/officeDocument/2006/relationships" name="I5 Flujo" sheetId="22" state="visible" r:id="rId22"/>
    <sheet xmlns:r="http://schemas.openxmlformats.org/officeDocument/2006/relationships" name="I5 Sensibilidad" sheetId="23" state="visible" r:id="rId2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0000"/>
      <sz val="13"/>
    </font>
    <font>
      <b val="1"/>
    </font>
  </fonts>
  <fills count="4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EEEEE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3" borderId="0" pivotButton="0" quotePrefix="0" xfId="0"/>
    <xf numFmtId="0" fontId="0" fillId="0" borderId="0" applyAlignment="1" pivotButton="0" quotePrefix="0" xfId="0">
      <alignment horizontal="right"/>
    </xf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styles" Target="styles.xml" Id="rId24"/><Relationship Type="http://schemas.openxmlformats.org/officeDocument/2006/relationships/theme" Target="theme/theme1.xml" Id="rId2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1" t="inlineStr">
        <is>
          <t>Modelo financiero — agencia de creación de negocios — Fase 3 (2026-10-21)</t>
        </is>
      </c>
    </row>
    <row r="2">
      <c r="A2" t="inlineStr">
        <is>
          <t>Generado por finanzas/modelo.py --xlsx. Las celdas amarillas son entradas; el resto son fórmulas.</t>
        </is>
      </c>
    </row>
    <row r="3">
      <c r="A3" t="inlineStr">
        <is>
          <t>Para cambiar un supuesto, edite la celda amarilla en la hoja 'Supuestos' de la idea o en 'Globales'; todo se recalcula.</t>
        </is>
      </c>
    </row>
    <row r="4">
      <c r="A4" t="inlineStr">
        <is>
          <t>Etiquetas de origen: VERIFICADO: fuente, fecha · ESTIMADO: método · SUPUESTO: por validar · DESCONOCIDO.</t>
        </is>
      </c>
    </row>
    <row r="5">
      <c r="A5" t="inlineStr">
        <is>
          <t>Si cambia un valor aquí, replíquelo en modelo.py (o al revés) para que ambos coincidan.</t>
        </is>
      </c>
    </row>
    <row r="6">
      <c r="A6" t="inlineStr">
        <is>
          <t>Las proyecciones son escenarios, no predicciones. Régimen tributario uniforme SUPUESTO (RER) hasta el informe legal.</t>
        </is>
      </c>
    </row>
    <row r="7">
      <c r="A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20" customWidth="1" min="3" max="3"/>
    <col width="20" customWidth="1" min="4" max="4"/>
    <col width="20" customWidth="1" min="5" max="5"/>
    <col width="20" customWidth="1" min="6" max="6"/>
    <col width="20" customWidth="1" min="7" max="7"/>
    <col width="20" customWidth="1" min="8" max="8"/>
    <col width="20" customWidth="1" min="9" max="9"/>
    <col width="20" customWidth="1" min="10" max="10"/>
    <col width="20" customWidth="1" min="11" max="11"/>
    <col width="20" customWidth="1" min="12" max="12"/>
    <col width="20" customWidth="1" min="13" max="13"/>
    <col width="20" customWidth="1" min="14" max="14"/>
    <col width="20" customWidth="1" min="15" max="15"/>
    <col width="20" customWidth="1" min="16" max="16"/>
    <col width="20" customWidth="1" min="17" max="17"/>
  </cols>
  <sheetData>
    <row r="1">
      <c r="A1" s="2" t="inlineStr">
        <is>
          <t>Comparación con el mismo método — escenario base salvo donde se indica</t>
        </is>
      </c>
    </row>
    <row r="2">
      <c r="A2" s="3" t="inlineStr">
        <is>
          <t>Idea</t>
        </is>
      </c>
      <c r="B2" s="3" t="inlineStr">
        <is>
          <t>Inversión inicial</t>
        </is>
      </c>
      <c r="C2" s="3" t="inlineStr">
        <is>
          <t>Margen por unidad</t>
        </is>
      </c>
      <c r="D2" s="3" t="inlineStr">
        <is>
          <t>Margen %</t>
        </is>
      </c>
      <c r="E2" s="3" t="inlineStr">
        <is>
          <t>Punto de equilibrio (u/mes)</t>
        </is>
      </c>
      <c r="F2" s="3" t="inlineStr">
        <is>
          <t>Recupera (mes, base)</t>
        </is>
      </c>
      <c r="G2" s="3" t="inlineStr">
        <is>
          <t>Resultado 12 m (pesimista)</t>
        </is>
      </c>
      <c r="H2" s="3" t="inlineStr">
        <is>
          <t>Resultado 12 m (base)</t>
        </is>
      </c>
      <c r="I2" s="3" t="inlineStr">
        <is>
          <t>Resultado 12 m (optimista)</t>
        </is>
      </c>
      <c r="J2" s="3" t="inlineStr">
        <is>
          <t>Horas/semana (pico base)</t>
        </is>
      </c>
      <c r="K2" s="3" t="inlineStr">
        <is>
          <t>F1 inversión</t>
        </is>
      </c>
      <c r="L2" s="3" t="inlineStr">
        <is>
          <t>F1 fijos</t>
        </is>
      </c>
      <c r="M2" s="3" t="inlineStr">
        <is>
          <t>Unid./mes 1 sueldo</t>
        </is>
      </c>
      <c r="N2" s="3" t="inlineStr">
        <is>
          <t>Horas/sem 1 sueldo</t>
        </is>
      </c>
      <c r="O2" s="3" t="inlineStr">
        <is>
          <t>Mes cubre 1 sueldo (base)</t>
        </is>
      </c>
      <c r="P2" s="3" t="inlineStr">
        <is>
          <t>Mes cubre 1 sueldo (optimista)</t>
        </is>
      </c>
      <c r="Q2" s="3" t="inlineStr">
        <is>
          <t>Cabe en capital (base)</t>
        </is>
      </c>
    </row>
    <row r="3">
      <c r="A3" s="4" t="inlineStr">
        <is>
          <t>1. Chatbot WhatsApp + panel (fichas 08+09+14)</t>
        </is>
      </c>
      <c r="B3" s="4">
        <f>'I1 Unitario'!$B$14</f>
        <v/>
      </c>
      <c r="C3" s="4">
        <f>'I1 Unitario'!$B$9</f>
        <v/>
      </c>
      <c r="D3" s="4">
        <f>'I1 Unitario'!$B$10</f>
        <v/>
      </c>
      <c r="E3" s="4">
        <f>'I1 Unitario'!$B$12</f>
        <v/>
      </c>
      <c r="F3" s="4">
        <f>'I1 Flujo'!$N$34</f>
        <v/>
      </c>
      <c r="G3" s="4">
        <f>'I1 Flujo'!$N$15</f>
        <v/>
      </c>
      <c r="H3" s="4">
        <f>'I1 Flujo'!$N$33</f>
        <v/>
      </c>
      <c r="I3" s="4">
        <f>'I1 Flujo'!$N$51</f>
        <v/>
      </c>
      <c r="J3" s="4">
        <f>'I1 Supuestos'!$B$38</f>
        <v/>
      </c>
      <c r="K3" s="4">
        <f>'I1 Unitario'!$B$15</f>
        <v/>
      </c>
      <c r="L3" s="4">
        <f>'I1 Unitario'!$B$16</f>
        <v/>
      </c>
      <c r="M3" s="4">
        <f>'I1 Unitario'!$B$17</f>
        <v/>
      </c>
      <c r="N3" s="4">
        <f>'I1 Unitario'!$B$18</f>
        <v/>
      </c>
      <c r="O3" s="4">
        <f>'I1 Flujo'!$N$37</f>
        <v/>
      </c>
      <c r="P3" s="4">
        <f>'I1 Flujo'!$N$55</f>
        <v/>
      </c>
      <c r="Q3" s="4">
        <f>'I1 Flujo'!$N$36</f>
        <v/>
      </c>
    </row>
    <row r="4">
      <c r="A4" s="4" t="inlineStr">
        <is>
          <t>2. Cliente incógnito + micro-capacitación (ficha 10)</t>
        </is>
      </c>
      <c r="B4" s="4">
        <f>'I2 Unitario'!$B$14</f>
        <v/>
      </c>
      <c r="C4" s="4">
        <f>'I2 Unitario'!$B$9</f>
        <v/>
      </c>
      <c r="D4" s="4">
        <f>'I2 Unitario'!$B$10</f>
        <v/>
      </c>
      <c r="E4" s="4">
        <f>'I2 Unitario'!$B$12</f>
        <v/>
      </c>
      <c r="F4" s="4">
        <f>'I2 Flujo'!$N$34</f>
        <v/>
      </c>
      <c r="G4" s="4">
        <f>'I2 Flujo'!$N$15</f>
        <v/>
      </c>
      <c r="H4" s="4">
        <f>'I2 Flujo'!$N$33</f>
        <v/>
      </c>
      <c r="I4" s="4">
        <f>'I2 Flujo'!$N$51</f>
        <v/>
      </c>
      <c r="J4" s="4">
        <f>'I2 Supuestos'!$B$37</f>
        <v/>
      </c>
      <c r="K4" s="4">
        <f>'I2 Unitario'!$B$15</f>
        <v/>
      </c>
      <c r="L4" s="4">
        <f>'I2 Unitario'!$B$16</f>
        <v/>
      </c>
      <c r="M4" s="4">
        <f>'I2 Unitario'!$B$17</f>
        <v/>
      </c>
      <c r="N4" s="4">
        <f>'I2 Unitario'!$B$18</f>
        <v/>
      </c>
      <c r="O4" s="4">
        <f>'I2 Flujo'!$N$37</f>
        <v/>
      </c>
      <c r="P4" s="4">
        <f>'I2 Flujo'!$N$55</f>
        <v/>
      </c>
      <c r="Q4" s="4">
        <f>'I2 Flujo'!$N$36</f>
        <v/>
      </c>
    </row>
    <row r="5">
      <c r="A5" s="4" t="inlineStr">
        <is>
          <t>3. Taller 'construye tu app con IA' (ficha 13)</t>
        </is>
      </c>
      <c r="B5" s="4">
        <f>'I3 Unitario'!$B$14</f>
        <v/>
      </c>
      <c r="C5" s="4">
        <f>'I3 Unitario'!$B$9</f>
        <v/>
      </c>
      <c r="D5" s="4">
        <f>'I3 Unitario'!$B$10</f>
        <v/>
      </c>
      <c r="E5" s="4">
        <f>'I3 Unitario'!$B$12</f>
        <v/>
      </c>
      <c r="F5" s="4">
        <f>'I3 Flujo'!$N$34</f>
        <v/>
      </c>
      <c r="G5" s="4">
        <f>'I3 Flujo'!$N$15</f>
        <v/>
      </c>
      <c r="H5" s="4">
        <f>'I3 Flujo'!$N$33</f>
        <v/>
      </c>
      <c r="I5" s="4">
        <f>'I3 Flujo'!$N$51</f>
        <v/>
      </c>
      <c r="J5" s="4">
        <f>'I3 Supuestos'!$B$36</f>
        <v/>
      </c>
      <c r="K5" s="4">
        <f>'I3 Unitario'!$B$15</f>
        <v/>
      </c>
      <c r="L5" s="4">
        <f>'I3 Unitario'!$B$16</f>
        <v/>
      </c>
      <c r="M5" s="4">
        <f>'I3 Unitario'!$B$17</f>
        <v/>
      </c>
      <c r="N5" s="4">
        <f>'I3 Unitario'!$B$18</f>
        <v/>
      </c>
      <c r="O5" s="4">
        <f>'I3 Flujo'!$N$37</f>
        <v/>
      </c>
      <c r="P5" s="4">
        <f>'I3 Flujo'!$N$55</f>
        <v/>
      </c>
      <c r="Q5" s="4">
        <f>'I3 Flujo'!$N$36</f>
        <v/>
      </c>
    </row>
    <row r="6">
      <c r="A6" s="4" t="inlineStr">
        <is>
          <t>4. Sorpresas y detalles a domicilio (ficha 06)</t>
        </is>
      </c>
      <c r="B6" s="4">
        <f>'I4 Unitario'!$B$14</f>
        <v/>
      </c>
      <c r="C6" s="4">
        <f>'I4 Unitario'!$B$9</f>
        <v/>
      </c>
      <c r="D6" s="4">
        <f>'I4 Unitario'!$B$10</f>
        <v/>
      </c>
      <c r="E6" s="4">
        <f>'I4 Unitario'!$B$12</f>
        <v/>
      </c>
      <c r="F6" s="4">
        <f>'I4 Flujo'!$N$34</f>
        <v/>
      </c>
      <c r="G6" s="4">
        <f>'I4 Flujo'!$N$15</f>
        <v/>
      </c>
      <c r="H6" s="4">
        <f>'I4 Flujo'!$N$33</f>
        <v/>
      </c>
      <c r="I6" s="4">
        <f>'I4 Flujo'!$N$51</f>
        <v/>
      </c>
      <c r="J6" s="4">
        <f>'I4 Supuestos'!$B$37</f>
        <v/>
      </c>
      <c r="K6" s="4">
        <f>'I4 Unitario'!$B$15</f>
        <v/>
      </c>
      <c r="L6" s="4">
        <f>'I4 Unitario'!$B$16</f>
        <v/>
      </c>
      <c r="M6" s="4">
        <f>'I4 Unitario'!$B$17</f>
        <v/>
      </c>
      <c r="N6" s="4">
        <f>'I4 Unitario'!$B$18</f>
        <v/>
      </c>
      <c r="O6" s="4">
        <f>'I4 Flujo'!$N$37</f>
        <v/>
      </c>
      <c r="P6" s="4">
        <f>'I4 Flujo'!$N$55</f>
        <v/>
      </c>
      <c r="Q6" s="4">
        <f>'I4 Flujo'!$N$36</f>
        <v/>
      </c>
    </row>
    <row r="7">
      <c r="A7" s="4" t="inlineStr">
        <is>
          <t>5. Decoración para eventos pequeños (ficha 05)</t>
        </is>
      </c>
      <c r="B7" s="4">
        <f>'I5 Unitario'!$B$14</f>
        <v/>
      </c>
      <c r="C7" s="4">
        <f>'I5 Unitario'!$B$9</f>
        <v/>
      </c>
      <c r="D7" s="4">
        <f>'I5 Unitario'!$B$10</f>
        <v/>
      </c>
      <c r="E7" s="4">
        <f>'I5 Unitario'!$B$12</f>
        <v/>
      </c>
      <c r="F7" s="4">
        <f>'I5 Flujo'!$N$34</f>
        <v/>
      </c>
      <c r="G7" s="4">
        <f>'I5 Flujo'!$N$15</f>
        <v/>
      </c>
      <c r="H7" s="4">
        <f>'I5 Flujo'!$N$33</f>
        <v/>
      </c>
      <c r="I7" s="4">
        <f>'I5 Flujo'!$N$51</f>
        <v/>
      </c>
      <c r="J7" s="4">
        <f>'I5 Supuestos'!$B$39</f>
        <v/>
      </c>
      <c r="K7" s="4">
        <f>'I5 Unitario'!$B$15</f>
        <v/>
      </c>
      <c r="L7" s="4">
        <f>'I5 Unitario'!$B$16</f>
        <v/>
      </c>
      <c r="M7" s="4">
        <f>'I5 Unitario'!$B$17</f>
        <v/>
      </c>
      <c r="N7" s="4">
        <f>'I5 Unitario'!$B$18</f>
        <v/>
      </c>
      <c r="O7" s="4">
        <f>'I5 Flujo'!$N$37</f>
        <v/>
      </c>
      <c r="P7" s="4">
        <f>'I5 Flujo'!$N$55</f>
        <v/>
      </c>
      <c r="Q7" s="4">
        <f>'I5 Flujo'!$N$36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cols>
    <col width="40" customWidth="1" min="1" max="1"/>
    <col width="14" customWidth="1" min="2" max="2"/>
    <col width="120" customWidth="1" min="3" max="3"/>
  </cols>
  <sheetData>
    <row r="1">
      <c r="A1" s="2" t="inlineStr">
        <is>
          <t>Parámetro</t>
        </is>
      </c>
      <c r="B1" t="inlineStr">
        <is>
          <t>Valor</t>
        </is>
      </c>
      <c r="C1" t="inlineStr">
        <is>
          <t>Origen</t>
        </is>
      </c>
    </row>
    <row r="2">
      <c r="A2" t="inlineStr">
        <is>
          <t>Capital inicial (S/)</t>
        </is>
      </c>
      <c r="B2" s="5" t="n">
        <v>400</v>
      </c>
      <c r="C2" t="inlineStr">
        <is>
          <t>VERIFICADO: expediente/00-perfil-socios.md (Indira S/ 400; Carlos S/ 0), 2026-10-21</t>
        </is>
      </c>
    </row>
    <row r="3">
      <c r="A3" t="inlineStr">
        <is>
          <t>Aporte mensual máximo (S/)</t>
        </is>
      </c>
      <c r="B3" s="5" t="n">
        <v>350</v>
      </c>
      <c r="C3" t="inlineStr">
        <is>
          <t>VERIFICADO: expediente/00-perfil-socios.md (Carlos 150 + Indira 200), 2026-10-21</t>
        </is>
      </c>
    </row>
    <row r="4">
      <c r="A4" t="inlineStr">
        <is>
          <t>Tope inversión F1 (S/)</t>
        </is>
      </c>
      <c r="B4" s="5" t="n">
        <v>400</v>
      </c>
      <c r="C4" t="inlineStr">
        <is>
          <t>VERIFICADO: expediente/decisiones.md, filtro F1, 2026-10-21</t>
        </is>
      </c>
    </row>
    <row r="5">
      <c r="A5" t="inlineStr">
        <is>
          <t>Tope fijos F1 (S/ por mes)</t>
        </is>
      </c>
      <c r="B5" s="5" t="n">
        <v>150</v>
      </c>
      <c r="C5" t="inlineStr">
        <is>
          <t>VERIFICADO: expediente/decisiones.md, filtro F1 (gasto mensual hasta la 1.ª venta), 2026-10-21</t>
        </is>
      </c>
    </row>
    <row r="6">
      <c r="A6" t="inlineStr">
        <is>
          <t>Tope horas F2 (h/semana)</t>
        </is>
      </c>
      <c r="B6" s="5" t="n">
        <v>34</v>
      </c>
      <c r="C6" t="inlineStr">
        <is>
          <t>VERIFICADO: expediente/decisiones.md, filtro F2 (34 h/semana entre los dos en exámenes), 2026-10-21</t>
        </is>
      </c>
    </row>
    <row r="7">
      <c r="A7" t="inlineStr">
        <is>
          <t>Tipo de cambio (S/ por US$)</t>
        </is>
      </c>
      <c r="B7" s="5" t="n">
        <v>3.44</v>
      </c>
      <c r="C7" t="inlineStr">
        <is>
          <t>VERIFICADO: open.er-api.com, 2026-10-21 (3,4376 S/ por US$, redondeado)</t>
        </is>
      </c>
    </row>
    <row r="8">
      <c r="A8" t="inlineStr">
        <is>
          <t>RMV (S/)</t>
        </is>
      </c>
      <c r="B8" s="5" t="n">
        <v>1130</v>
      </c>
      <c r="C8" t="inlineStr">
        <is>
          <t>VERIFICADO: D.S. 006-2024-TR, RMV S/ 1 130 vigente desde 2025-01-01; no se verificó hoy si hubo aumento en 2026</t>
        </is>
      </c>
    </row>
    <row r="9">
      <c r="A9" t="inlineStr">
        <is>
          <t>Sueldo objetivo por socio (S/ por mes)</t>
        </is>
      </c>
      <c r="B9" s="5" t="n">
        <v>2000</v>
      </c>
      <c r="C9" t="inlineStr">
        <is>
          <t>SUPUESTO: por validar — sueldo neto mensual de UN socio; los sueldos reales de Carlos e Indira no están registrados [DESCONOCIDO]. Se usa S/ 2 000 (entre la RMV de S/ 1 130 y el promedio de community manager S/ 1 346 citado en el informe del explorador, con margen para un puesto con estudios). Los socios deben confirmarlo</t>
        </is>
      </c>
    </row>
    <row r="10">
      <c r="A10" t="inlineStr">
        <is>
          <t>Cuota Nuevo RUS cat. 1 (S/ por mes)</t>
        </is>
      </c>
      <c r="B10" s="5" t="n">
        <v>20</v>
      </c>
      <c r="C10" t="inlineStr">
        <is>
          <t>VERIFICADO: D. Leg. 937 modificado por D. Leg. 1270, Nuevo RUS categoría 1 (ingresos ≤ S/ 5 000/mes), cuota S/ 20; norma conocida, no verificada hoy — confirmar con asesor-legal-tributario-peru</t>
        </is>
      </c>
    </row>
    <row r="11">
      <c r="A11" t="inlineStr">
        <is>
          <t>Retención 4.ª categoría</t>
        </is>
      </c>
      <c r="B11" s="5" t="n">
        <v>0.08</v>
      </c>
      <c r="C11" t="inlineStr">
        <is>
          <t>VERIFICADO: retención de rentas de 4.ª categoría 8 % (recibos por honorarios &gt; S/ 1 500); norma conocida, no verificada hoy — confirmar con asesor legal; solo aplica a servicios personales (ideas 2 y 3)</t>
        </is>
      </c>
    </row>
    <row r="12">
      <c r="A12" t="inlineStr">
        <is>
          <t>Pasarela alternativa %</t>
        </is>
      </c>
      <c r="B12" s="5" t="n">
        <v>0.0344</v>
      </c>
      <c r="C12" t="inlineStr">
        <is>
          <t>VERIFICADO: culqi.com/precios, 2026-10-21 — online y link de pago, tarjetas nacionales y billeteras</t>
        </is>
      </c>
    </row>
    <row r="13">
      <c r="A13" t="inlineStr">
        <is>
          <t>Pasarela alternativa fijo (S/)</t>
        </is>
      </c>
      <c r="B13" s="5" t="n">
        <v>0.6880000000000001</v>
      </c>
      <c r="C13" t="inlineStr">
        <is>
          <t>VERIFICADO: culqi.com/precios, 2026-10-21 — US$ 0,20 por transacción × tipo de cambio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9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6" customWidth="1" min="3" max="3"/>
    <col width="40" customWidth="1" min="4" max="4"/>
    <col width="14" customWidth="1" min="5" max="5"/>
  </cols>
  <sheetData>
    <row r="1">
      <c r="A1" s="2" t="inlineStr">
        <is>
          <t>Idea: 1. Chatbot WhatsApp + panel (fichas 08+09+14)</t>
        </is>
      </c>
    </row>
    <row r="2">
      <c r="A2" t="inlineStr">
        <is>
          <t>Unidad: una mensualidad de un cliente activo</t>
        </is>
      </c>
    </row>
    <row r="3">
      <c r="A3" s="2" t="inlineStr">
        <is>
          <t>Concepto</t>
        </is>
      </c>
      <c r="B3" t="inlineStr">
        <is>
          <t>Valor</t>
        </is>
      </c>
      <c r="C3" t="inlineStr">
        <is>
          <t>Origen</t>
        </is>
      </c>
      <c r="D3" t="inlineStr">
        <is>
          <t>Nota</t>
        </is>
      </c>
    </row>
    <row r="4">
      <c r="A4" t="inlineStr">
        <is>
          <t>Precio de venta al cliente (S/)</t>
        </is>
      </c>
      <c r="B4" s="5" t="n">
        <v>150</v>
      </c>
      <c r="C4" t="inlineStr">
        <is>
          <t>SUPUESTO: por validar — punto medio del rango S/ 80–200/mes de las fichas 08/09 (S-10); con IGV incluido</t>
        </is>
      </c>
      <c r="D4" t="inlineStr"/>
    </row>
    <row r="5">
      <c r="A5" t="inlineStr">
        <is>
          <t>¿Precio incluye IGV? (1 = sí, 0 = no)</t>
        </is>
      </c>
      <c r="B5" s="5" t="n">
        <v>1</v>
      </c>
      <c r="C5" t="inlineStr">
        <is>
          <t>regla</t>
        </is>
      </c>
      <c r="D5" t="inlineStr"/>
    </row>
    <row r="6">
      <c r="A6" t="inlineStr">
        <is>
          <t>Tasa IGV</t>
        </is>
      </c>
      <c r="B6" s="5" t="n">
        <v>0.18</v>
      </c>
      <c r="C6" t="inlineStr">
        <is>
          <t>VERIFICADO: TUO Ley del IGV (16 %) + IPM (2 %) = 18 %, vigente; sin informe legal aún — confirmar con asesor-legal-tributario-peru</t>
        </is>
      </c>
      <c r="D6" t="inlineStr">
        <is>
          <t>precio al cliente con IGV incluido</t>
        </is>
      </c>
    </row>
    <row r="7">
      <c r="A7" t="inlineStr">
        <is>
          <t>Comisión pasarela (%)</t>
        </is>
      </c>
      <c r="B7" s="5" t="n">
        <v>0</v>
      </c>
      <c r="C7" t="inlineStr">
        <is>
          <t>SUPUESTO: por validar — cobro por Yape/Plin o transferencia entre personas naturales, sin comisión; la variante con Culqi (3,44 % + US$ 0,20) se calcula aparte</t>
        </is>
      </c>
      <c r="D7" t="inlineStr"/>
    </row>
    <row r="8">
      <c r="A8" t="inlineStr">
        <is>
          <t>Comisión pasarela fija por transacción (S/)</t>
        </is>
      </c>
      <c r="B8" s="5" t="n">
        <v>0</v>
      </c>
      <c r="C8" t="inlineStr">
        <is>
          <t>SUPUESTO: por validar — igual que tasa_pasarela</t>
        </is>
      </c>
      <c r="D8" t="inlineStr"/>
    </row>
    <row r="9">
      <c r="A9" t="inlineStr">
        <is>
          <t>Impuesto a la renta (% sobre ingreso neto)</t>
        </is>
      </c>
      <c r="B9" s="5" t="n">
        <v>0.015</v>
      </c>
      <c r="C9" t="inlineStr">
        <is>
          <t>SUPUESTO: por validar — RER (1,5 % de ingresos netos mensuales) como régimen uniforme y conservador para las cinco ideas; permite emitir factura a negocios. Variantes Nuevo RUS y 4.ª categoría se calculan aparte. Lo define el asesor legal en la Etapa 2</t>
        </is>
      </c>
      <c r="D9" t="inlineStr"/>
    </row>
    <row r="10">
      <c r="A10" t="inlineStr">
        <is>
          <t>Horas fijas por semana</t>
        </is>
      </c>
      <c r="B10" s="5" t="n">
        <v>12</v>
      </c>
      <c r="C10" t="inlineStr">
        <is>
          <t>ESTIMADO: mantenimiento y mejoras 6 h (Carlos) + demos y venta 4 h (Indira) + administración 2 h. NO incluye las 80–120 h de construcción previas al mes 1 (4–6 semanas × 20 h, ficha 08)</t>
        </is>
      </c>
      <c r="D10" t="inlineStr"/>
    </row>
    <row r="11">
      <c r="A11" t="inlineStr">
        <is>
          <t>Horas por unidad vendida</t>
        </is>
      </c>
      <c r="B11" s="5" t="n">
        <v>2</v>
      </c>
      <c r="C11" t="inlineStr">
        <is>
          <t>ESTIMADO: configuración inicial 4 h (ficha 08: 3–5 h) prorrateada en 4 meses de permanencia + 1 h/mes de soporte por cliente</t>
        </is>
      </c>
      <c r="D11" t="inlineStr"/>
    </row>
    <row r="13">
      <c r="A13" s="2" t="inlineStr">
        <is>
          <t>Inversión inicial (S/)</t>
        </is>
      </c>
    </row>
    <row r="14">
      <c r="A14" t="inlineStr">
        <is>
          <t>chip / número de WhatsApp dedicado</t>
        </is>
      </c>
      <c r="B14" s="5" t="n">
        <v>15</v>
      </c>
      <c r="C14" t="inlineStr">
        <is>
          <t>ESTIMADO: ficha 08 (S/ 10–20), punto medio</t>
        </is>
      </c>
      <c r="D14" t="inlineStr"/>
    </row>
    <row r="15">
      <c r="A15" t="inlineStr">
        <is>
          <t>dominio para el panel (1 año)</t>
        </is>
      </c>
      <c r="B15" s="5" t="n">
        <v>50</v>
      </c>
      <c r="C15" t="inlineStr">
        <is>
          <t>ESTIMADO: ficha 14 (S/ 40–60)</t>
        </is>
      </c>
      <c r="D15" t="inlineStr"/>
    </row>
    <row r="16">
      <c r="A16" t="inlineStr">
        <is>
          <t>hosting e IA durante la construcción, antes de la 1.ª venta (1,5 meses)</t>
        </is>
      </c>
      <c r="B16" s="5" t="n">
        <v>105</v>
      </c>
      <c r="C16" t="inlineStr">
        <is>
          <t>ESTIMADO: 4–6 semanas de construcción (ficha 08) × los dos costos fijos mensuales de abajo</t>
        </is>
      </c>
      <c r="D16" t="inlineStr"/>
    </row>
    <row r="17">
      <c r="A17" t="inlineStr">
        <is>
          <t>verificación de negocio en Meta</t>
        </is>
      </c>
      <c r="B17" s="5" t="n">
        <v>0</v>
      </c>
      <c r="C17" t="inlineStr">
        <is>
          <t>ESTIMADO: Meta no publica tarifa por verificar el negocio; cobra por mensaje (ficha 08)</t>
        </is>
      </c>
      <c r="D17" t="inlineStr"/>
    </row>
    <row r="18">
      <c r="A18" s="2" t="inlineStr">
        <is>
          <t>TOTAL inversión inicial (s/)</t>
        </is>
      </c>
      <c r="B18">
        <f>SUM(B14:B17)</f>
        <v/>
      </c>
      <c r="C18" t="inlineStr">
        <is>
          <t>fórmula</t>
        </is>
      </c>
      <c r="D18" t="inlineStr"/>
    </row>
    <row r="20">
      <c r="A20" s="2" t="inlineStr">
        <is>
          <t>Costos fijos mensuales (S/)</t>
        </is>
      </c>
    </row>
    <row r="21">
      <c r="A21" t="inlineStr">
        <is>
          <t>servidor / hosting (VPS básico)</t>
        </is>
      </c>
      <c r="B21" s="5" t="n">
        <v>35</v>
      </c>
      <c r="C21" t="inlineStr">
        <is>
          <t>ESTIMADO: ficha 08 (S/ 20–50/mes); ~US$ 10 × TC 3,44</t>
        </is>
      </c>
      <c r="D21" t="inlineStr"/>
    </row>
    <row r="22">
      <c r="A22" t="inlineStr">
        <is>
          <t>plataforma de IA (cuenta, pruebas; no por cliente)</t>
        </is>
      </c>
      <c r="B22" s="5" t="n">
        <v>35</v>
      </c>
      <c r="C22" t="inlineStr">
        <is>
          <t>ESTIMADO: ficha 08 (S/ 20–60/mes), punto medio bajo</t>
        </is>
      </c>
      <c r="D22" t="inlineStr"/>
    </row>
    <row r="23">
      <c r="A23" t="inlineStr">
        <is>
          <t>contabilidad / declaraciones</t>
        </is>
      </c>
      <c r="B23" s="5" t="n">
        <v>0</v>
      </c>
      <c r="C23" t="inlineStr">
        <is>
          <t>SUPUESTO: por validar — declaran ellos mismos en SUNAT Virtual; un contador costaría S/ 50–150/mes</t>
        </is>
      </c>
      <c r="D23" t="inlineStr"/>
    </row>
    <row r="24">
      <c r="A24" s="2" t="inlineStr">
        <is>
          <t>TOTAL costos fijos mensuales (s/)</t>
        </is>
      </c>
      <c r="B24">
        <f>SUM(B21:B23)</f>
        <v/>
      </c>
      <c r="C24" t="inlineStr">
        <is>
          <t>fórmula</t>
        </is>
      </c>
      <c r="D24" t="inlineStr"/>
    </row>
    <row r="26">
      <c r="A26" s="2" t="inlineStr">
        <is>
          <t>Costo variable directo por unidad (S/)</t>
        </is>
      </c>
    </row>
    <row r="27">
      <c r="A27" t="inlineStr">
        <is>
          <t>API de Meta: mensajes de plantilla por cliente/mes</t>
        </is>
      </c>
      <c r="B27" s="5" t="n">
        <v>13.072</v>
      </c>
      <c r="C27" t="inlineStr">
        <is>
          <t>ESTIMADO: 100 mensajes de plantilla de utilidad por cliente/mes × US$ 0,038 (ficha 08: SleekFlow 2025) × TC 3,44; las respuestas dentro de la ventana de 24 h no pagan</t>
        </is>
      </c>
      <c r="D27" t="inlineStr"/>
    </row>
    <row r="28">
      <c r="A28" t="inlineStr">
        <is>
          <t>IA / tokens por cliente/mes</t>
        </is>
      </c>
      <c r="B28" s="5" t="n">
        <v>15</v>
      </c>
      <c r="C28" t="inlineStr">
        <is>
          <t>ESTIMADO: ~1 500 respuestas/mes × ~S/ 0,01 por respuesta con un modelo económico; sin medición real</t>
        </is>
      </c>
      <c r="D28" t="inlineStr"/>
    </row>
    <row r="29">
      <c r="A29" t="inlineStr">
        <is>
          <t>servidor incremental por cliente/mes</t>
        </is>
      </c>
      <c r="B29" s="5" t="n">
        <v>5</v>
      </c>
      <c r="C29" t="inlineStr">
        <is>
          <t>ESTIMADO: el VPS básico soporta ~10 clientes; se prorratea la ampliación</t>
        </is>
      </c>
      <c r="D29" t="inlineStr"/>
    </row>
    <row r="30">
      <c r="A30" s="2" t="inlineStr">
        <is>
          <t>TOTAL costo variable directo por unidad (s/)</t>
        </is>
      </c>
      <c r="B30">
        <f>SUM(B27:B29)</f>
        <v/>
      </c>
      <c r="C30" t="inlineStr">
        <is>
          <t>fórmula</t>
        </is>
      </c>
      <c r="D30" t="inlineStr"/>
    </row>
    <row r="32">
      <c r="A32" s="2" t="inlineStr">
        <is>
          <t>Escenarios</t>
        </is>
      </c>
    </row>
    <row r="33">
      <c r="A33" t="inlineStr">
        <is>
          <t>Escenario</t>
        </is>
      </c>
      <c r="B33" t="inlineStr">
        <is>
          <t>Unidades mes 1</t>
        </is>
      </c>
      <c r="C33" t="inlineStr">
        <is>
          <t>Crecimiento mensual</t>
        </is>
      </c>
      <c r="D33" t="inlineStr">
        <is>
          <t>Factor precio</t>
        </is>
      </c>
      <c r="E33" t="inlineStr">
        <is>
          <t>Origen</t>
        </is>
      </c>
    </row>
    <row r="34">
      <c r="A34" t="inlineStr">
        <is>
          <t>pesimista</t>
        </is>
      </c>
      <c r="B34" s="5" t="n">
        <v>1</v>
      </c>
      <c r="C34" s="5" t="n">
        <v>0</v>
      </c>
      <c r="D34" s="5" t="n">
        <v>0.6666666666666666</v>
      </c>
      <c r="E34" t="inlineStr">
        <is>
          <t>SUPUESTO: por validar — solo el piloto con la academia de marinera (S-14) a S/ 100 (precio de contacto) y ningún cliente nuevo en 12 meses: primera venta en la vida de los socios y canal solo por referidos</t>
        </is>
      </c>
    </row>
    <row r="35">
      <c r="A35" t="inlineStr">
        <is>
          <t>base</t>
        </is>
      </c>
      <c r="B35" s="5" t="n">
        <v>2</v>
      </c>
      <c r="C35" s="5" t="n">
        <v>0.2</v>
      </c>
      <c r="D35" s="5" t="n">
        <v>1</v>
      </c>
      <c r="E35" t="inlineStr">
        <is>
          <t>SUPUESTO: por validar — 2 contactos (academia, librería) pagan desde el mes 1; +20 %/mes neto de bajas, solo por referidos</t>
        </is>
      </c>
    </row>
    <row r="36">
      <c r="A36" t="inlineStr">
        <is>
          <t>optimista</t>
        </is>
      </c>
      <c r="B36" s="5" t="n">
        <v>3</v>
      </c>
      <c r="C36" s="5" t="n">
        <v>0.25</v>
      </c>
      <c r="D36" s="5" t="n">
        <v>1</v>
      </c>
      <c r="E36" t="inlineStr">
        <is>
          <t>SUPUESTO: por validar — 3 clientes en el mes 1 (academia, librería, galletas) y +25 %/mes neto con referidos y contenido en redes</t>
        </is>
      </c>
    </row>
    <row r="38">
      <c r="A38" t="inlineStr">
        <is>
          <t>Horas/semana requeridas (pico: mes 12 del escenario base)</t>
        </is>
      </c>
      <c r="B38">
        <f>'I1 Supuestos'!$B$10+'I1 Supuestos'!$B$11*'I1 Supuestos'!$B$35*(1+'I1 Supuestos'!$C$35)^(12-1)/(4.333333333333333)</f>
        <v/>
      </c>
      <c r="C38" t="inlineStr">
        <is>
          <t>ESTIMADO: horas fijas/semana + horas por unidad × unidades del mes 12 del escenario base ÷ 4,33 semanas/mes (pico del año 1)</t>
        </is>
      </c>
      <c r="D38" t="inlineStr"/>
    </row>
    <row r="39">
      <c r="A39" t="inlineStr">
        <is>
          <t>Rango del precio por validar (mín – máx)</t>
        </is>
      </c>
      <c r="B39" s="5" t="n">
        <v>80</v>
      </c>
      <c r="C39" s="5" t="n">
        <v>200</v>
      </c>
      <c r="D39" t="inlineStr">
        <is>
          <t>ver hoja Unitario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0" customWidth="1" min="3" max="3"/>
  </cols>
  <sheetData>
    <row r="1">
      <c r="A1" s="2" t="inlineStr">
        <is>
          <t>Economía unitaria — 1. Chatbot WhatsApp + panel (fichas 08+09+14) (precio de lista)</t>
        </is>
      </c>
    </row>
    <row r="2">
      <c r="A2" t="inlineStr">
        <is>
          <t>Concepto</t>
        </is>
      </c>
      <c r="B2" t="inlineStr">
        <is>
          <t>S/</t>
        </is>
      </c>
      <c r="C2" t="inlineStr">
        <is>
          <t>Fórmula</t>
        </is>
      </c>
    </row>
    <row r="3">
      <c r="A3" t="inlineStr">
        <is>
          <t>Precio al cliente</t>
        </is>
      </c>
      <c r="B3">
        <f>'I1 Supuestos'!$B$4</f>
        <v/>
      </c>
      <c r="C3" t="inlineStr">
        <is>
          <t>'='I1 Supuestos'!$B$4</t>
        </is>
      </c>
    </row>
    <row r="4">
      <c r="A4" t="inlineStr">
        <is>
          <t>Ingreso neto (sin IGV)</t>
        </is>
      </c>
      <c r="B4">
        <f>IF('I1 Supuestos'!$B$5=1,'I1 Unitario'!$B$3/(1+'I1 Supuestos'!$B$6),'I1 Unitario'!$B$3)</f>
        <v/>
      </c>
      <c r="C4" t="inlineStr">
        <is>
          <t>'=IF('I1 Supuestos'!$B$5=1,'I1 Unitario'!$B$3/(1+'I1 Supuestos'!$B$6),'I1 Unitario'!$B$3)</t>
        </is>
      </c>
    </row>
    <row r="5">
      <c r="A5" t="inlineStr">
        <is>
          <t>Comisión pasarela</t>
        </is>
      </c>
      <c r="B5">
        <f>'I1 Unitario'!$B$3*'I1 Supuestos'!$B$7+'I1 Supuestos'!$B$8</f>
        <v/>
      </c>
      <c r="C5" t="inlineStr">
        <is>
          <t>'='I1 Unitario'!$B$3*'I1 Supuestos'!$B$7+'I1 Supuestos'!$B$8</t>
        </is>
      </c>
    </row>
    <row r="6">
      <c r="A6" t="inlineStr">
        <is>
          <t>Impuesto a la renta</t>
        </is>
      </c>
      <c r="B6">
        <f>'I1 Unitario'!$B$4*'I1 Supuestos'!$B$9</f>
        <v/>
      </c>
      <c r="C6" t="inlineStr">
        <is>
          <t>'='I1 Unitario'!$B$4*'I1 Supuestos'!$B$9</t>
        </is>
      </c>
    </row>
    <row r="7">
      <c r="A7" t="inlineStr">
        <is>
          <t>Costo variable directo</t>
        </is>
      </c>
      <c r="B7">
        <f>'I1 Supuestos'!$B$30</f>
        <v/>
      </c>
      <c r="C7" t="inlineStr">
        <is>
          <t>'='I1 Supuestos'!$B$30</t>
        </is>
      </c>
    </row>
    <row r="8">
      <c r="A8" t="inlineStr">
        <is>
          <t>Costo variable total</t>
        </is>
      </c>
      <c r="B8">
        <f>'I1 Unitario'!$B$7+'I1 Unitario'!$B$5+'I1 Unitario'!$B$6</f>
        <v/>
      </c>
      <c r="C8" t="inlineStr">
        <is>
          <t>'='I1 Unitario'!$B$7+'I1 Unitario'!$B$5+'I1 Unitario'!$B$6</t>
        </is>
      </c>
    </row>
    <row r="9">
      <c r="A9" t="inlineStr">
        <is>
          <t>Margen por unidad</t>
        </is>
      </c>
      <c r="B9">
        <f>'I1 Unitario'!$B$4-'I1 Unitario'!$B$8</f>
        <v/>
      </c>
      <c r="C9" t="inlineStr">
        <is>
          <t>'='I1 Unitario'!$B$4-'I1 Unitario'!$B$8</t>
        </is>
      </c>
    </row>
    <row r="10">
      <c r="A10" t="inlineStr">
        <is>
          <t>Margen % sobre ingreso neto</t>
        </is>
      </c>
      <c r="B10">
        <f>IF('I1 Unitario'!$B$4=0,0,'I1 Unitario'!$B$9/'I1 Unitario'!$B$4)</f>
        <v/>
      </c>
      <c r="C10" t="inlineStr">
        <is>
          <t>'=IF('I1 Unitario'!$B$4=0,0,'I1 Unitario'!$B$9/'I1 Unitario'!$B$4)</t>
        </is>
      </c>
    </row>
    <row r="11">
      <c r="A11" t="inlineStr">
        <is>
          <t>Costos fijos mensuales</t>
        </is>
      </c>
      <c r="B11">
        <f>'I1 Supuestos'!$B$24</f>
        <v/>
      </c>
      <c r="C11" t="inlineStr">
        <is>
          <t>'='I1 Supuestos'!$B$24</t>
        </is>
      </c>
    </row>
    <row r="12">
      <c r="A12" t="inlineStr">
        <is>
          <t>Punto de equilibrio (unidades/mes)</t>
        </is>
      </c>
      <c r="B12">
        <f>IF('I1 Unitario'!$B$9&gt;0,'I1 Unitario'!$B$11/'I1 Unitario'!$B$9,"no alcanzable")</f>
        <v/>
      </c>
      <c r="C12" t="inlineStr">
        <is>
          <t>'=IF('I1 Unitario'!$B$9&gt;0,'I1 Unitario'!$B$11/'I1 Unitario'!$B$9,"no alcanzable")</t>
        </is>
      </c>
    </row>
    <row r="13">
      <c r="A13" t="inlineStr">
        <is>
          <t>Punto de equilibrio (S/ ventas/mes)</t>
        </is>
      </c>
      <c r="B13">
        <f>IF(ISNUMBER('I1 Unitario'!$B$12),'I1 Unitario'!$B$12*'I1 Unitario'!$B$3,"no alcanzable")</f>
        <v/>
      </c>
      <c r="C13" t="inlineStr">
        <is>
          <t>'=IF(ISNUMBER('I1 Unitario'!$B$12),'I1 Unitario'!$B$12*'I1 Unitario'!$B$3,"no alcanzable")</t>
        </is>
      </c>
    </row>
    <row r="14">
      <c r="A14" t="inlineStr">
        <is>
          <t>Inversión inicial</t>
        </is>
      </c>
      <c r="B14">
        <f>'I1 Supuestos'!$B$18</f>
        <v/>
      </c>
      <c r="C14" t="inlineStr">
        <is>
          <t>'='I1 Supuestos'!$B$18</t>
        </is>
      </c>
    </row>
    <row r="15">
      <c r="A15" t="inlineStr">
        <is>
          <t>F1: inversión ≤ tope</t>
        </is>
      </c>
      <c r="B15">
        <f>IF('I1 Unitario'!$B$14&lt;=Globales!$B$4,"sí","NO")</f>
        <v/>
      </c>
      <c r="C15" t="inlineStr">
        <is>
          <t>'=IF('I1 Unitario'!$B$14&lt;=Globales!$B$4,"sí","NO")</t>
        </is>
      </c>
    </row>
    <row r="16">
      <c r="A16" t="inlineStr">
        <is>
          <t>F1: fijos ≤ tope mensual</t>
        </is>
      </c>
      <c r="B16">
        <f>IF('I1 Unitario'!$B$11&lt;=Globales!$B$5,"sí","NO")</f>
        <v/>
      </c>
      <c r="C16" t="inlineStr">
        <is>
          <t>'=IF('I1 Unitario'!$B$11&lt;=Globales!$B$5,"sí","NO")</t>
        </is>
      </c>
    </row>
    <row r="17">
      <c r="A17" t="inlineStr">
        <is>
          <t>Unidades/mes para cubrir 1 sueldo</t>
        </is>
      </c>
      <c r="B17">
        <f>IF('I1 Unitario'!$B$9&gt;0,('I1 Unitario'!$B$11+Globales!$B$9)/'I1 Unitario'!$B$9,"no alcanzable")</f>
        <v/>
      </c>
      <c r="C17" t="inlineStr">
        <is>
          <t>'=IF('I1 Unitario'!$B$9&gt;0,('I1 Unitario'!$B$11+Globales!$B$9)/'I1 Unitario'!$B$9,"no alcanzable")</t>
        </is>
      </c>
    </row>
    <row r="18">
      <c r="A18" t="inlineStr">
        <is>
          <t>Horas/semana para cubrir 1 sueldo</t>
        </is>
      </c>
      <c r="B18">
        <f>IF(ISNUMBER('I1 Unitario'!$B$17),'I1 Supuestos'!$B$10+'I1 Supuestos'!$B$11*'I1 Unitario'!$B$17/(4.333333333333333),"n/a")</f>
        <v/>
      </c>
      <c r="C18" t="inlineStr">
        <is>
          <t>'=IF(ISNUMBER('I1 Unitario'!$B$17),'I1 Supuestos'!$B$10+'I1 Supuestos'!$B$11*'I1 Unitario'!$B$17/(4.333333333333333),"n/a")</t>
        </is>
      </c>
    </row>
    <row r="19">
      <c r="A19" t="inlineStr">
        <is>
          <t>Unidades/mes para cubrir 2 sueldos</t>
        </is>
      </c>
      <c r="B19">
        <f>IF('I1 Unitario'!$B$9&gt;0,('I1 Unitario'!$B$11+2*Globales!$B$9)/'I1 Unitario'!$B$9,"no alcanzable")</f>
        <v/>
      </c>
      <c r="C19" t="inlineStr">
        <is>
          <t>'=IF('I1 Unitario'!$B$9&gt;0,('I1 Unitario'!$B$11+2*Globales!$B$9)/'I1 Unitario'!$B$9,"no alcanzable")</t>
        </is>
      </c>
    </row>
    <row r="20">
      <c r="A20" t="inlineStr">
        <is>
          <t>Horas/semana para cubrir 2 sueldos</t>
        </is>
      </c>
      <c r="B20">
        <f>IF(ISNUMBER('I1 Unitario'!$B$19),'I1 Supuestos'!$B$10+'I1 Supuestos'!$B$11*'I1 Unitario'!$B$19/(4.333333333333333),"n/a")</f>
        <v/>
      </c>
      <c r="C20" t="inlineStr">
        <is>
          <t>'=IF(ISNUMBER('I1 Unitario'!$B$19),'I1 Supuestos'!$B$10+'I1 Supuestos'!$B$11*'I1 Unitario'!$B$19/(4.333333333333333),"n/a")</t>
        </is>
      </c>
    </row>
    <row r="21"/>
    <row r="22">
      <c r="A22" s="2" t="inlineStr">
        <is>
          <t>Variantes (mismo precio de lista)</t>
        </is>
      </c>
      <c r="B22" t="inlineStr">
        <is>
          <t>Margen/u</t>
        </is>
      </c>
    </row>
    <row r="23">
      <c r="A23" t="inlineStr">
        <is>
          <t>Nuevo RUS cat. 1: sin IGV, sin renta %, +cuota como fijo → margen</t>
        </is>
      </c>
      <c r="B23">
        <f>'I1 Unitario'!$B$3-('I1 Unitario'!$B$7+'I1 Unitario'!$B$5)</f>
        <v/>
      </c>
      <c r="C23" t="inlineStr">
        <is>
          <t>'='I1 Unitario'!$B$3-('I1 Unitario'!$B$7+'I1 Unitario'!$B$5)</t>
        </is>
      </c>
    </row>
    <row r="24">
      <c r="A24" t="inlineStr">
        <is>
          <t>Nuevo RUS: punto de equilibrio (u/mes)</t>
        </is>
      </c>
      <c r="B24">
        <f>IF('I1 Unitario'!$B$23&gt;0,('I1 Unitario'!$B$11+Globales!$B$10)/'I1 Unitario'!$B$23,"no alcanzable")</f>
        <v/>
      </c>
      <c r="C24" t="inlineStr">
        <is>
          <t>'=IF('I1 Unitario'!$B$23&gt;0,('I1 Unitario'!$B$11+Globales!$B$10)/'I1 Unitario'!$B$23,"no alcanzable")</t>
        </is>
      </c>
    </row>
    <row r="25">
      <c r="A25" t="inlineStr">
        <is>
          <t>4.ª categoría: sin IGV, retención 8 % → margen</t>
        </is>
      </c>
      <c r="B25">
        <f>'I1 Unitario'!$B$3-('I1 Unitario'!$B$7+'I1 Unitario'!$B$5+'I1 Unitario'!$B$3*Globales!$B$11)</f>
        <v/>
      </c>
      <c r="C25" t="inlineStr">
        <is>
          <t>'='I1 Unitario'!$B$3-('I1 Unitario'!$B$7+'I1 Unitario'!$B$5+'I1 Unitario'!$B$3*Globales!$B$11)</t>
        </is>
      </c>
    </row>
    <row r="26">
      <c r="A26" t="inlineStr">
        <is>
          <t>RER + pasarela Culqi → margen</t>
        </is>
      </c>
      <c r="B26">
        <f>'I1 Unitario'!$B$4-('I1 Unitario'!$B$7+'I1 Unitario'!$B$3*Globales!$B$12+Globales!$B$13+'I1 Unitario'!$B$6)</f>
        <v/>
      </c>
      <c r="C26" t="inlineStr">
        <is>
          <t>'='I1 Unitario'!$B$4-('I1 Unitario'!$B$7+'I1 Unitario'!$B$3*Globales!$B$12+Globales!$B$13+'I1 Unitario'!$B$6)</t>
        </is>
      </c>
    </row>
    <row r="27">
      <c r="A27" t="inlineStr">
        <is>
          <t>Margen/u con precio mínimo del rango</t>
        </is>
      </c>
      <c r="B27">
        <f>IF('I1 Supuestos'!$B$5=1,'I1 Supuestos'!$B$39/(1+'I1 Supuestos'!$B$6),'I1 Supuestos'!$B$39)-('I1 Unitario'!$B$7+'I1 Supuestos'!$B$39*'I1 Supuestos'!$B$7+'I1 Supuestos'!$B$8+IF('I1 Supuestos'!$B$5=1,'I1 Supuestos'!$B$39/(1+'I1 Supuestos'!$B$6),'I1 Supuestos'!$B$39)*'I1 Supuestos'!$B$9)</f>
        <v/>
      </c>
      <c r="C27" t="inlineStr">
        <is>
          <t>'=IF('I1 Supuestos'!$B$5=1,'I1 Supuestos'!$B$39/(1+'I1 Supuestos'!$B$6),'I1 Supuestos'!$B$39)-('I1 Unitario'!$B$7+'I1 Supuestos'!$B$39*'I1 Supuestos'!$B$7+'I1 Supuestos'!$B$8+IF('I1 Supuestos'!$B$5=1,'I1 Supuestos'!$B$39/(1+'I1 Supuestos'!$B$6),'I1 Supuestos'!$B$39)*'I1 Supuestos'!$B$9)</t>
        </is>
      </c>
    </row>
    <row r="28">
      <c r="A28" t="inlineStr">
        <is>
          <t>Margen/u con precio máximo del rango</t>
        </is>
      </c>
      <c r="B28">
        <f>IF('I1 Supuestos'!$B$5=1,'I1 Supuestos'!$C$39/(1+'I1 Supuestos'!$B$6),'I1 Supuestos'!$C$39)-('I1 Unitario'!$B$7+'I1 Supuestos'!$C$39*'I1 Supuestos'!$B$7+'I1 Supuestos'!$B$8+IF('I1 Supuestos'!$B$5=1,'I1 Supuestos'!$C$39/(1+'I1 Supuestos'!$B$6),'I1 Supuestos'!$C$39)*'I1 Supuestos'!$B$9)</f>
        <v/>
      </c>
      <c r="C28" t="inlineStr">
        <is>
          <t>'=IF('I1 Supuestos'!$B$5=1,'I1 Supuestos'!$C$39/(1+'I1 Supuestos'!$B$6),'I1 Supuestos'!$C$39)-('I1 Unitario'!$B$7+'I1 Supuestos'!$C$39*'I1 Supuestos'!$B$7+'I1 Supuestos'!$B$8+IF('I1 Supuestos'!$B$5=1,'I1 Supuestos'!$C$39/(1+'I1 Supuestos'!$B$6),'I1 Supuestos'!$C$39)*'I1 Supuestos'!$B$9)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Flujo de caja a 12 meses — 1. Chatbot WhatsApp + panel (fichas 08+09+14). Escenarios, no predicciones.</t>
        </is>
      </c>
    </row>
    <row r="3">
      <c r="A3" s="2" t="inlineStr">
        <is>
          <t>Escenario pesimista</t>
        </is>
      </c>
    </row>
    <row r="4">
      <c r="A4" t="inlineStr">
        <is>
          <t>Precio escenario</t>
        </is>
      </c>
      <c r="B4">
        <f>'I1 Supuestos'!$B$4*'I1 Supuestos'!$D$34</f>
        <v/>
      </c>
    </row>
    <row r="5">
      <c r="A5" t="inlineStr">
        <is>
          <t>Ingreso neto unitario</t>
        </is>
      </c>
      <c r="B5">
        <f>IF('I1 Supuestos'!$B$5=1,B4/(1+'I1 Supuestos'!$B$6),B4)</f>
        <v/>
      </c>
    </row>
    <row r="6">
      <c r="A6" t="inlineStr">
        <is>
          <t>Costo variable total unitario</t>
        </is>
      </c>
      <c r="B6">
        <f>'I1 Supuestos'!$B$30+B4*'I1 Supuestos'!$B$7+'I1 Supuestos'!$B$8+B5*'I1 Supuestos'!$B$9</f>
        <v/>
      </c>
    </row>
    <row r="7">
      <c r="A7" t="inlineStr">
        <is>
          <t>Costos fijos mensuales</t>
        </is>
      </c>
      <c r="B7">
        <f>'I1 Supuestos'!$B$24</f>
        <v/>
      </c>
    </row>
    <row r="8">
      <c r="A8" t="inlineStr">
        <is>
          <t>Inversión inicial</t>
        </is>
      </c>
      <c r="B8">
        <f>'I1 Supuestos'!$B$18</f>
        <v/>
      </c>
    </row>
    <row r="9">
      <c r="A9" s="3" t="inlineStr">
        <is>
          <t>Mes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  <c r="I9" s="3" t="n">
        <v>8</v>
      </c>
      <c r="J9" s="3" t="n">
        <v>9</v>
      </c>
      <c r="K9" s="3" t="n">
        <v>10</v>
      </c>
      <c r="L9" s="3" t="n">
        <v>11</v>
      </c>
      <c r="M9" s="3" t="n">
        <v>12</v>
      </c>
      <c r="N9" s="3" t="inlineStr">
        <is>
          <t>Total 12 m</t>
        </is>
      </c>
    </row>
    <row r="10">
      <c r="A10" t="inlineStr">
        <is>
          <t>Unidades</t>
        </is>
      </c>
      <c r="B10">
        <f>'I1 Supuestos'!$B$34*(1+'I1 Supuestos'!$C$34)^(1-1)</f>
        <v/>
      </c>
      <c r="C10">
        <f>'I1 Supuestos'!$B$34*(1+'I1 Supuestos'!$C$34)^(2-1)</f>
        <v/>
      </c>
      <c r="D10">
        <f>'I1 Supuestos'!$B$34*(1+'I1 Supuestos'!$C$34)^(3-1)</f>
        <v/>
      </c>
      <c r="E10">
        <f>'I1 Supuestos'!$B$34*(1+'I1 Supuestos'!$C$34)^(4-1)</f>
        <v/>
      </c>
      <c r="F10">
        <f>'I1 Supuestos'!$B$34*(1+'I1 Supuestos'!$C$34)^(5-1)</f>
        <v/>
      </c>
      <c r="G10">
        <f>'I1 Supuestos'!$B$34*(1+'I1 Supuestos'!$C$34)^(6-1)</f>
        <v/>
      </c>
      <c r="H10">
        <f>'I1 Supuestos'!$B$34*(1+'I1 Supuestos'!$C$34)^(7-1)</f>
        <v/>
      </c>
      <c r="I10">
        <f>'I1 Supuestos'!$B$34*(1+'I1 Supuestos'!$C$34)^(8-1)</f>
        <v/>
      </c>
      <c r="J10">
        <f>'I1 Supuestos'!$B$34*(1+'I1 Supuestos'!$C$34)^(9-1)</f>
        <v/>
      </c>
      <c r="K10">
        <f>'I1 Supuestos'!$B$34*(1+'I1 Supuestos'!$C$34)^(10-1)</f>
        <v/>
      </c>
      <c r="L10">
        <f>'I1 Supuestos'!$B$34*(1+'I1 Supuestos'!$C$34)^(11-1)</f>
        <v/>
      </c>
      <c r="M10">
        <f>'I1 Supuestos'!$B$34*(1+'I1 Supuestos'!$C$34)^(12-1)</f>
        <v/>
      </c>
      <c r="N10">
        <f>SUM(B10:M10)</f>
        <v/>
      </c>
    </row>
    <row r="11">
      <c r="A11" t="inlineStr">
        <is>
          <t>Ingresos netos</t>
        </is>
      </c>
      <c r="B11">
        <f>B10*$B$5</f>
        <v/>
      </c>
      <c r="C11">
        <f>C10*$B$5</f>
        <v/>
      </c>
      <c r="D11">
        <f>D10*$B$5</f>
        <v/>
      </c>
      <c r="E11">
        <f>E10*$B$5</f>
        <v/>
      </c>
      <c r="F11">
        <f>F10*$B$5</f>
        <v/>
      </c>
      <c r="G11">
        <f>G10*$B$5</f>
        <v/>
      </c>
      <c r="H11">
        <f>H10*$B$5</f>
        <v/>
      </c>
      <c r="I11">
        <f>I10*$B$5</f>
        <v/>
      </c>
      <c r="J11">
        <f>J10*$B$5</f>
        <v/>
      </c>
      <c r="K11">
        <f>K10*$B$5</f>
        <v/>
      </c>
      <c r="L11">
        <f>L10*$B$5</f>
        <v/>
      </c>
      <c r="M11">
        <f>M10*$B$5</f>
        <v/>
      </c>
      <c r="N11">
        <f>SUM(B11:M11)</f>
        <v/>
      </c>
    </row>
    <row r="12">
      <c r="A12" t="inlineStr">
        <is>
          <t>Costos variables</t>
        </is>
      </c>
      <c r="B12">
        <f>B10*$B$6</f>
        <v/>
      </c>
      <c r="C12">
        <f>C10*$B$6</f>
        <v/>
      </c>
      <c r="D12">
        <f>D10*$B$6</f>
        <v/>
      </c>
      <c r="E12">
        <f>E10*$B$6</f>
        <v/>
      </c>
      <c r="F12">
        <f>F10*$B$6</f>
        <v/>
      </c>
      <c r="G12">
        <f>G10*$B$6</f>
        <v/>
      </c>
      <c r="H12">
        <f>H10*$B$6</f>
        <v/>
      </c>
      <c r="I12">
        <f>I10*$B$6</f>
        <v/>
      </c>
      <c r="J12">
        <f>J10*$B$6</f>
        <v/>
      </c>
      <c r="K12">
        <f>K10*$B$6</f>
        <v/>
      </c>
      <c r="L12">
        <f>L10*$B$6</f>
        <v/>
      </c>
      <c r="M12">
        <f>M10*$B$6</f>
        <v/>
      </c>
      <c r="N12">
        <f>SUM(B12:M12)</f>
        <v/>
      </c>
    </row>
    <row r="13">
      <c r="A13" t="inlineStr">
        <is>
          <t>Costos fijos</t>
        </is>
      </c>
      <c r="B13">
        <f>$B$7</f>
        <v/>
      </c>
      <c r="C13">
        <f>$B$7</f>
        <v/>
      </c>
      <c r="D13">
        <f>$B$7</f>
        <v/>
      </c>
      <c r="E13">
        <f>$B$7</f>
        <v/>
      </c>
      <c r="F13">
        <f>$B$7</f>
        <v/>
      </c>
      <c r="G13">
        <f>$B$7</f>
        <v/>
      </c>
      <c r="H13">
        <f>$B$7</f>
        <v/>
      </c>
      <c r="I13">
        <f>$B$7</f>
        <v/>
      </c>
      <c r="J13">
        <f>$B$7</f>
        <v/>
      </c>
      <c r="K13">
        <f>$B$7</f>
        <v/>
      </c>
      <c r="L13">
        <f>$B$7</f>
        <v/>
      </c>
      <c r="M13">
        <f>$B$7</f>
        <v/>
      </c>
      <c r="N13">
        <f>SUM(B13:M13)</f>
        <v/>
      </c>
    </row>
    <row r="14">
      <c r="A14" t="inlineStr">
        <is>
          <t>Flujo neto</t>
        </is>
      </c>
      <c r="B14">
        <f>B11-B12-B13</f>
        <v/>
      </c>
      <c r="C14">
        <f>C11-C12-C13</f>
        <v/>
      </c>
      <c r="D14">
        <f>D11-D12-D13</f>
        <v/>
      </c>
      <c r="E14">
        <f>E11-E12-E13</f>
        <v/>
      </c>
      <c r="F14">
        <f>F11-F12-F13</f>
        <v/>
      </c>
      <c r="G14">
        <f>G11-G12-G13</f>
        <v/>
      </c>
      <c r="H14">
        <f>H11-H12-H13</f>
        <v/>
      </c>
      <c r="I14">
        <f>I11-I12-I13</f>
        <v/>
      </c>
      <c r="J14">
        <f>J11-J12-J13</f>
        <v/>
      </c>
      <c r="K14">
        <f>K11-K12-K13</f>
        <v/>
      </c>
      <c r="L14">
        <f>L11-L12-L13</f>
        <v/>
      </c>
      <c r="M14">
        <f>M11-M12-M13</f>
        <v/>
      </c>
      <c r="N14">
        <f>SUM(B14:M14)</f>
        <v/>
      </c>
    </row>
    <row r="15">
      <c r="A15" t="inlineStr">
        <is>
          <t>Acumulado (tras inversión)</t>
        </is>
      </c>
      <c r="B15">
        <f>-$B$8+B14</f>
        <v/>
      </c>
      <c r="C15">
        <f>B15+C14</f>
        <v/>
      </c>
      <c r="D15">
        <f>C15+D14</f>
        <v/>
      </c>
      <c r="E15">
        <f>D15+E14</f>
        <v/>
      </c>
      <c r="F15">
        <f>E15+F14</f>
        <v/>
      </c>
      <c r="G15">
        <f>F15+G14</f>
        <v/>
      </c>
      <c r="H15">
        <f>G15+H14</f>
        <v/>
      </c>
      <c r="I15">
        <f>H15+I14</f>
        <v/>
      </c>
      <c r="J15">
        <f>I15+J14</f>
        <v/>
      </c>
      <c r="K15">
        <f>J15+K14</f>
        <v/>
      </c>
      <c r="L15">
        <f>K15+L14</f>
        <v/>
      </c>
      <c r="M15">
        <f>L15+M14</f>
        <v/>
      </c>
      <c r="N15" s="2">
        <f>M15</f>
        <v/>
      </c>
    </row>
    <row r="16">
      <c r="A16" t="inlineStr">
        <is>
          <t>Mes en que acumulado ≥ 0</t>
        </is>
      </c>
      <c r="B16">
        <f>IF(B15&gt;=0,1,"")</f>
        <v/>
      </c>
      <c r="C16">
        <f>IF(C15&gt;=0,2,"")</f>
        <v/>
      </c>
      <c r="D16">
        <f>IF(D15&gt;=0,3,"")</f>
        <v/>
      </c>
      <c r="E16">
        <f>IF(E15&gt;=0,4,"")</f>
        <v/>
      </c>
      <c r="F16">
        <f>IF(F15&gt;=0,5,"")</f>
        <v/>
      </c>
      <c r="G16">
        <f>IF(G15&gt;=0,6,"")</f>
        <v/>
      </c>
      <c r="H16">
        <f>IF(H15&gt;=0,7,"")</f>
        <v/>
      </c>
      <c r="I16">
        <f>IF(I15&gt;=0,8,"")</f>
        <v/>
      </c>
      <c r="J16">
        <f>IF(J15&gt;=0,9,"")</f>
        <v/>
      </c>
      <c r="K16">
        <f>IF(K15&gt;=0,10,"")</f>
        <v/>
      </c>
      <c r="L16">
        <f>IF(L15&gt;=0,11,"")</f>
        <v/>
      </c>
      <c r="M16">
        <f>IF(M15&gt;=0,12,"")</f>
        <v/>
      </c>
      <c r="N16" s="2">
        <f>IF(COUNT(B16:M16)=0,"no en 12 meses",MIN(B16:M16))</f>
        <v/>
      </c>
    </row>
    <row r="17">
      <c r="A17" t="inlineStr">
        <is>
          <t>Horas/semana</t>
        </is>
      </c>
      <c r="B17">
        <f>'I1 Supuestos'!$B$10+'I1 Supuestos'!$B$11*B10/(4.333333333333333)</f>
        <v/>
      </c>
      <c r="C17">
        <f>'I1 Supuestos'!$B$10+'I1 Supuestos'!$B$11*C10/(4.333333333333333)</f>
        <v/>
      </c>
      <c r="D17">
        <f>'I1 Supuestos'!$B$10+'I1 Supuestos'!$B$11*D10/(4.333333333333333)</f>
        <v/>
      </c>
      <c r="E17">
        <f>'I1 Supuestos'!$B$10+'I1 Supuestos'!$B$11*E10/(4.333333333333333)</f>
        <v/>
      </c>
      <c r="F17">
        <f>'I1 Supuestos'!$B$10+'I1 Supuestos'!$B$11*F10/(4.333333333333333)</f>
        <v/>
      </c>
      <c r="G17">
        <f>'I1 Supuestos'!$B$10+'I1 Supuestos'!$B$11*G10/(4.333333333333333)</f>
        <v/>
      </c>
      <c r="H17">
        <f>'I1 Supuestos'!$B$10+'I1 Supuestos'!$B$11*H10/(4.333333333333333)</f>
        <v/>
      </c>
      <c r="I17">
        <f>'I1 Supuestos'!$B$10+'I1 Supuestos'!$B$11*I10/(4.333333333333333)</f>
        <v/>
      </c>
      <c r="J17">
        <f>'I1 Supuestos'!$B$10+'I1 Supuestos'!$B$11*J10/(4.333333333333333)</f>
        <v/>
      </c>
      <c r="K17">
        <f>'I1 Supuestos'!$B$10+'I1 Supuestos'!$B$11*K10/(4.333333333333333)</f>
        <v/>
      </c>
      <c r="L17">
        <f>'I1 Supuestos'!$B$10+'I1 Supuestos'!$B$11*L10/(4.333333333333333)</f>
        <v/>
      </c>
      <c r="M17">
        <f>'I1 Supuestos'!$B$10+'I1 Supuestos'!$B$11*M10/(4.333333333333333)</f>
        <v/>
      </c>
      <c r="N17" s="2">
        <f>MAX(B17:M17)</f>
        <v/>
      </c>
    </row>
    <row r="18">
      <c r="A18" t="inlineStr">
        <is>
          <t>Capital disponible (inicial + aportes)</t>
        </is>
      </c>
      <c r="B18">
        <f>Globales!$B$2+Globales!$B$3*1</f>
        <v/>
      </c>
      <c r="C18">
        <f>Globales!$B$2+Globales!$B$3*2</f>
        <v/>
      </c>
      <c r="D18">
        <f>Globales!$B$2+Globales!$B$3*3</f>
        <v/>
      </c>
      <c r="E18">
        <f>Globales!$B$2+Globales!$B$3*4</f>
        <v/>
      </c>
      <c r="F18">
        <f>Globales!$B$2+Globales!$B$3*5</f>
        <v/>
      </c>
      <c r="G18">
        <f>Globales!$B$2+Globales!$B$3*6</f>
        <v/>
      </c>
      <c r="H18">
        <f>Globales!$B$2+Globales!$B$3*7</f>
        <v/>
      </c>
      <c r="I18">
        <f>Globales!$B$2+Globales!$B$3*8</f>
        <v/>
      </c>
      <c r="J18">
        <f>Globales!$B$2+Globales!$B$3*9</f>
        <v/>
      </c>
      <c r="K18">
        <f>Globales!$B$2+Globales!$B$3*10</f>
        <v/>
      </c>
      <c r="L18">
        <f>Globales!$B$2+Globales!$B$3*11</f>
        <v/>
      </c>
      <c r="M18">
        <f>Globales!$B$2+Globales!$B$3*12</f>
        <v/>
      </c>
      <c r="N18" s="2">
        <f>IF(SUMPRODUCT(--(-B15:M15&gt;B18:M18))=0,"cabe en el capital","NO cabe")</f>
        <v/>
      </c>
    </row>
    <row r="19">
      <c r="A19" t="inlineStr">
        <is>
          <t>Mes en que flujo neto ≥ 1 sueldo</t>
        </is>
      </c>
      <c r="B19">
        <f>IF(B14&gt;=Globales!$B$9,1,"")</f>
        <v/>
      </c>
      <c r="C19">
        <f>IF(C14&gt;=Globales!$B$9,2,"")</f>
        <v/>
      </c>
      <c r="D19">
        <f>IF(D14&gt;=Globales!$B$9,3,"")</f>
        <v/>
      </c>
      <c r="E19">
        <f>IF(E14&gt;=Globales!$B$9,4,"")</f>
        <v/>
      </c>
      <c r="F19">
        <f>IF(F14&gt;=Globales!$B$9,5,"")</f>
        <v/>
      </c>
      <c r="G19">
        <f>IF(G14&gt;=Globales!$B$9,6,"")</f>
        <v/>
      </c>
      <c r="H19">
        <f>IF(H14&gt;=Globales!$B$9,7,"")</f>
        <v/>
      </c>
      <c r="I19">
        <f>IF(I14&gt;=Globales!$B$9,8,"")</f>
        <v/>
      </c>
      <c r="J19">
        <f>IF(J14&gt;=Globales!$B$9,9,"")</f>
        <v/>
      </c>
      <c r="K19">
        <f>IF(K14&gt;=Globales!$B$9,10,"")</f>
        <v/>
      </c>
      <c r="L19">
        <f>IF(L14&gt;=Globales!$B$9,11,"")</f>
        <v/>
      </c>
      <c r="M19">
        <f>IF(M14&gt;=Globales!$B$9,12,"")</f>
        <v/>
      </c>
      <c r="N19" s="2">
        <f>IF(COUNT(B19:M19)=0,"no en 12 meses",MIN(B19:M19))</f>
        <v/>
      </c>
    </row>
    <row r="21">
      <c r="A21" s="2" t="inlineStr">
        <is>
          <t>Escenario base</t>
        </is>
      </c>
    </row>
    <row r="22">
      <c r="A22" t="inlineStr">
        <is>
          <t>Precio escenario</t>
        </is>
      </c>
      <c r="B22">
        <f>'I1 Supuestos'!$B$4*'I1 Supuestos'!$D$35</f>
        <v/>
      </c>
    </row>
    <row r="23">
      <c r="A23" t="inlineStr">
        <is>
          <t>Ingreso neto unitario</t>
        </is>
      </c>
      <c r="B23">
        <f>IF('I1 Supuestos'!$B$5=1,B22/(1+'I1 Supuestos'!$B$6),B22)</f>
        <v/>
      </c>
    </row>
    <row r="24">
      <c r="A24" t="inlineStr">
        <is>
          <t>Costo variable total unitario</t>
        </is>
      </c>
      <c r="B24">
        <f>'I1 Supuestos'!$B$30+B22*'I1 Supuestos'!$B$7+'I1 Supuestos'!$B$8+B23*'I1 Supuestos'!$B$9</f>
        <v/>
      </c>
    </row>
    <row r="25">
      <c r="A25" t="inlineStr">
        <is>
          <t>Costos fijos mensuales</t>
        </is>
      </c>
      <c r="B25">
        <f>'I1 Supuestos'!$B$24</f>
        <v/>
      </c>
    </row>
    <row r="26">
      <c r="A26" t="inlineStr">
        <is>
          <t>Inversión inicial</t>
        </is>
      </c>
      <c r="B26">
        <f>'I1 Supuestos'!$B$18</f>
        <v/>
      </c>
    </row>
    <row r="27">
      <c r="A27" s="3" t="inlineStr">
        <is>
          <t>Mes</t>
        </is>
      </c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  <c r="H27" s="3" t="n">
        <v>7</v>
      </c>
      <c r="I27" s="3" t="n">
        <v>8</v>
      </c>
      <c r="J27" s="3" t="n">
        <v>9</v>
      </c>
      <c r="K27" s="3" t="n">
        <v>10</v>
      </c>
      <c r="L27" s="3" t="n">
        <v>11</v>
      </c>
      <c r="M27" s="3" t="n">
        <v>12</v>
      </c>
      <c r="N27" s="3" t="inlineStr">
        <is>
          <t>Total 12 m</t>
        </is>
      </c>
    </row>
    <row r="28">
      <c r="A28" t="inlineStr">
        <is>
          <t>Unidades</t>
        </is>
      </c>
      <c r="B28">
        <f>'I1 Supuestos'!$B$35*(1+'I1 Supuestos'!$C$35)^(1-1)</f>
        <v/>
      </c>
      <c r="C28">
        <f>'I1 Supuestos'!$B$35*(1+'I1 Supuestos'!$C$35)^(2-1)</f>
        <v/>
      </c>
      <c r="D28">
        <f>'I1 Supuestos'!$B$35*(1+'I1 Supuestos'!$C$35)^(3-1)</f>
        <v/>
      </c>
      <c r="E28">
        <f>'I1 Supuestos'!$B$35*(1+'I1 Supuestos'!$C$35)^(4-1)</f>
        <v/>
      </c>
      <c r="F28">
        <f>'I1 Supuestos'!$B$35*(1+'I1 Supuestos'!$C$35)^(5-1)</f>
        <v/>
      </c>
      <c r="G28">
        <f>'I1 Supuestos'!$B$35*(1+'I1 Supuestos'!$C$35)^(6-1)</f>
        <v/>
      </c>
      <c r="H28">
        <f>'I1 Supuestos'!$B$35*(1+'I1 Supuestos'!$C$35)^(7-1)</f>
        <v/>
      </c>
      <c r="I28">
        <f>'I1 Supuestos'!$B$35*(1+'I1 Supuestos'!$C$35)^(8-1)</f>
        <v/>
      </c>
      <c r="J28">
        <f>'I1 Supuestos'!$B$35*(1+'I1 Supuestos'!$C$35)^(9-1)</f>
        <v/>
      </c>
      <c r="K28">
        <f>'I1 Supuestos'!$B$35*(1+'I1 Supuestos'!$C$35)^(10-1)</f>
        <v/>
      </c>
      <c r="L28">
        <f>'I1 Supuestos'!$B$35*(1+'I1 Supuestos'!$C$35)^(11-1)</f>
        <v/>
      </c>
      <c r="M28">
        <f>'I1 Supuestos'!$B$35*(1+'I1 Supuestos'!$C$35)^(12-1)</f>
        <v/>
      </c>
      <c r="N28">
        <f>SUM(B28:M28)</f>
        <v/>
      </c>
    </row>
    <row r="29">
      <c r="A29" t="inlineStr">
        <is>
          <t>Ingresos netos</t>
        </is>
      </c>
      <c r="B29">
        <f>B28*$B$23</f>
        <v/>
      </c>
      <c r="C29">
        <f>C28*$B$23</f>
        <v/>
      </c>
      <c r="D29">
        <f>D28*$B$23</f>
        <v/>
      </c>
      <c r="E29">
        <f>E28*$B$23</f>
        <v/>
      </c>
      <c r="F29">
        <f>F28*$B$23</f>
        <v/>
      </c>
      <c r="G29">
        <f>G28*$B$23</f>
        <v/>
      </c>
      <c r="H29">
        <f>H28*$B$23</f>
        <v/>
      </c>
      <c r="I29">
        <f>I28*$B$23</f>
        <v/>
      </c>
      <c r="J29">
        <f>J28*$B$23</f>
        <v/>
      </c>
      <c r="K29">
        <f>K28*$B$23</f>
        <v/>
      </c>
      <c r="L29">
        <f>L28*$B$23</f>
        <v/>
      </c>
      <c r="M29">
        <f>M28*$B$23</f>
        <v/>
      </c>
      <c r="N29">
        <f>SUM(B29:M29)</f>
        <v/>
      </c>
    </row>
    <row r="30">
      <c r="A30" t="inlineStr">
        <is>
          <t>Costos variables</t>
        </is>
      </c>
      <c r="B30">
        <f>B28*$B$24</f>
        <v/>
      </c>
      <c r="C30">
        <f>C28*$B$24</f>
        <v/>
      </c>
      <c r="D30">
        <f>D28*$B$24</f>
        <v/>
      </c>
      <c r="E30">
        <f>E28*$B$24</f>
        <v/>
      </c>
      <c r="F30">
        <f>F28*$B$24</f>
        <v/>
      </c>
      <c r="G30">
        <f>G28*$B$24</f>
        <v/>
      </c>
      <c r="H30">
        <f>H28*$B$24</f>
        <v/>
      </c>
      <c r="I30">
        <f>I28*$B$24</f>
        <v/>
      </c>
      <c r="J30">
        <f>J28*$B$24</f>
        <v/>
      </c>
      <c r="K30">
        <f>K28*$B$24</f>
        <v/>
      </c>
      <c r="L30">
        <f>L28*$B$24</f>
        <v/>
      </c>
      <c r="M30">
        <f>M28*$B$24</f>
        <v/>
      </c>
      <c r="N30">
        <f>SUM(B30:M30)</f>
        <v/>
      </c>
    </row>
    <row r="31">
      <c r="A31" t="inlineStr">
        <is>
          <t>Costos fijos</t>
        </is>
      </c>
      <c r="B31">
        <f>$B$25</f>
        <v/>
      </c>
      <c r="C31">
        <f>$B$25</f>
        <v/>
      </c>
      <c r="D31">
        <f>$B$25</f>
        <v/>
      </c>
      <c r="E31">
        <f>$B$25</f>
        <v/>
      </c>
      <c r="F31">
        <f>$B$25</f>
        <v/>
      </c>
      <c r="G31">
        <f>$B$25</f>
        <v/>
      </c>
      <c r="H31">
        <f>$B$25</f>
        <v/>
      </c>
      <c r="I31">
        <f>$B$25</f>
        <v/>
      </c>
      <c r="J31">
        <f>$B$25</f>
        <v/>
      </c>
      <c r="K31">
        <f>$B$25</f>
        <v/>
      </c>
      <c r="L31">
        <f>$B$25</f>
        <v/>
      </c>
      <c r="M31">
        <f>$B$25</f>
        <v/>
      </c>
      <c r="N31">
        <f>SUM(B31:M31)</f>
        <v/>
      </c>
    </row>
    <row r="32">
      <c r="A32" t="inlineStr">
        <is>
          <t>Flujo neto</t>
        </is>
      </c>
      <c r="B32">
        <f>B29-B30-B31</f>
        <v/>
      </c>
      <c r="C32">
        <f>C29-C30-C31</f>
        <v/>
      </c>
      <c r="D32">
        <f>D29-D30-D31</f>
        <v/>
      </c>
      <c r="E32">
        <f>E29-E30-E31</f>
        <v/>
      </c>
      <c r="F32">
        <f>F29-F30-F31</f>
        <v/>
      </c>
      <c r="G32">
        <f>G29-G30-G31</f>
        <v/>
      </c>
      <c r="H32">
        <f>H29-H30-H31</f>
        <v/>
      </c>
      <c r="I32">
        <f>I29-I30-I31</f>
        <v/>
      </c>
      <c r="J32">
        <f>J29-J30-J31</f>
        <v/>
      </c>
      <c r="K32">
        <f>K29-K30-K31</f>
        <v/>
      </c>
      <c r="L32">
        <f>L29-L30-L31</f>
        <v/>
      </c>
      <c r="M32">
        <f>M29-M30-M31</f>
        <v/>
      </c>
      <c r="N32">
        <f>SUM(B32:M32)</f>
        <v/>
      </c>
    </row>
    <row r="33">
      <c r="A33" t="inlineStr">
        <is>
          <t>Acumulado (tras inversión)</t>
        </is>
      </c>
      <c r="B33">
        <f>-$B$26+B32</f>
        <v/>
      </c>
      <c r="C33">
        <f>B33+C32</f>
        <v/>
      </c>
      <c r="D33">
        <f>C33+D32</f>
        <v/>
      </c>
      <c r="E33">
        <f>D33+E32</f>
        <v/>
      </c>
      <c r="F33">
        <f>E33+F32</f>
        <v/>
      </c>
      <c r="G33">
        <f>F33+G32</f>
        <v/>
      </c>
      <c r="H33">
        <f>G33+H32</f>
        <v/>
      </c>
      <c r="I33">
        <f>H33+I32</f>
        <v/>
      </c>
      <c r="J33">
        <f>I33+J32</f>
        <v/>
      </c>
      <c r="K33">
        <f>J33+K32</f>
        <v/>
      </c>
      <c r="L33">
        <f>K33+L32</f>
        <v/>
      </c>
      <c r="M33">
        <f>L33+M32</f>
        <v/>
      </c>
      <c r="N33" s="2">
        <f>M33</f>
        <v/>
      </c>
    </row>
    <row r="34">
      <c r="A34" t="inlineStr">
        <is>
          <t>Mes en que acumulado ≥ 0</t>
        </is>
      </c>
      <c r="B34">
        <f>IF(B33&gt;=0,1,"")</f>
        <v/>
      </c>
      <c r="C34">
        <f>IF(C33&gt;=0,2,"")</f>
        <v/>
      </c>
      <c r="D34">
        <f>IF(D33&gt;=0,3,"")</f>
        <v/>
      </c>
      <c r="E34">
        <f>IF(E33&gt;=0,4,"")</f>
        <v/>
      </c>
      <c r="F34">
        <f>IF(F33&gt;=0,5,"")</f>
        <v/>
      </c>
      <c r="G34">
        <f>IF(G33&gt;=0,6,"")</f>
        <v/>
      </c>
      <c r="H34">
        <f>IF(H33&gt;=0,7,"")</f>
        <v/>
      </c>
      <c r="I34">
        <f>IF(I33&gt;=0,8,"")</f>
        <v/>
      </c>
      <c r="J34">
        <f>IF(J33&gt;=0,9,"")</f>
        <v/>
      </c>
      <c r="K34">
        <f>IF(K33&gt;=0,10,"")</f>
        <v/>
      </c>
      <c r="L34">
        <f>IF(L33&gt;=0,11,"")</f>
        <v/>
      </c>
      <c r="M34">
        <f>IF(M33&gt;=0,12,"")</f>
        <v/>
      </c>
      <c r="N34" s="2">
        <f>IF(COUNT(B34:M34)=0,"no en 12 meses",MIN(B34:M34))</f>
        <v/>
      </c>
    </row>
    <row r="35">
      <c r="A35" t="inlineStr">
        <is>
          <t>Horas/semana</t>
        </is>
      </c>
      <c r="B35">
        <f>'I1 Supuestos'!$B$10+'I1 Supuestos'!$B$11*B28/(4.333333333333333)</f>
        <v/>
      </c>
      <c r="C35">
        <f>'I1 Supuestos'!$B$10+'I1 Supuestos'!$B$11*C28/(4.333333333333333)</f>
        <v/>
      </c>
      <c r="D35">
        <f>'I1 Supuestos'!$B$10+'I1 Supuestos'!$B$11*D28/(4.333333333333333)</f>
        <v/>
      </c>
      <c r="E35">
        <f>'I1 Supuestos'!$B$10+'I1 Supuestos'!$B$11*E28/(4.333333333333333)</f>
        <v/>
      </c>
      <c r="F35">
        <f>'I1 Supuestos'!$B$10+'I1 Supuestos'!$B$11*F28/(4.333333333333333)</f>
        <v/>
      </c>
      <c r="G35">
        <f>'I1 Supuestos'!$B$10+'I1 Supuestos'!$B$11*G28/(4.333333333333333)</f>
        <v/>
      </c>
      <c r="H35">
        <f>'I1 Supuestos'!$B$10+'I1 Supuestos'!$B$11*H28/(4.333333333333333)</f>
        <v/>
      </c>
      <c r="I35">
        <f>'I1 Supuestos'!$B$10+'I1 Supuestos'!$B$11*I28/(4.333333333333333)</f>
        <v/>
      </c>
      <c r="J35">
        <f>'I1 Supuestos'!$B$10+'I1 Supuestos'!$B$11*J28/(4.333333333333333)</f>
        <v/>
      </c>
      <c r="K35">
        <f>'I1 Supuestos'!$B$10+'I1 Supuestos'!$B$11*K28/(4.333333333333333)</f>
        <v/>
      </c>
      <c r="L35">
        <f>'I1 Supuestos'!$B$10+'I1 Supuestos'!$B$11*L28/(4.333333333333333)</f>
        <v/>
      </c>
      <c r="M35">
        <f>'I1 Supuestos'!$B$10+'I1 Supuestos'!$B$11*M28/(4.333333333333333)</f>
        <v/>
      </c>
      <c r="N35" s="2">
        <f>MAX(B35:M35)</f>
        <v/>
      </c>
    </row>
    <row r="36">
      <c r="A36" t="inlineStr">
        <is>
          <t>Capital disponible (inicial + aportes)</t>
        </is>
      </c>
      <c r="B36">
        <f>Globales!$B$2+Globales!$B$3*1</f>
        <v/>
      </c>
      <c r="C36">
        <f>Globales!$B$2+Globales!$B$3*2</f>
        <v/>
      </c>
      <c r="D36">
        <f>Globales!$B$2+Globales!$B$3*3</f>
        <v/>
      </c>
      <c r="E36">
        <f>Globales!$B$2+Globales!$B$3*4</f>
        <v/>
      </c>
      <c r="F36">
        <f>Globales!$B$2+Globales!$B$3*5</f>
        <v/>
      </c>
      <c r="G36">
        <f>Globales!$B$2+Globales!$B$3*6</f>
        <v/>
      </c>
      <c r="H36">
        <f>Globales!$B$2+Globales!$B$3*7</f>
        <v/>
      </c>
      <c r="I36">
        <f>Globales!$B$2+Globales!$B$3*8</f>
        <v/>
      </c>
      <c r="J36">
        <f>Globales!$B$2+Globales!$B$3*9</f>
        <v/>
      </c>
      <c r="K36">
        <f>Globales!$B$2+Globales!$B$3*10</f>
        <v/>
      </c>
      <c r="L36">
        <f>Globales!$B$2+Globales!$B$3*11</f>
        <v/>
      </c>
      <c r="M36">
        <f>Globales!$B$2+Globales!$B$3*12</f>
        <v/>
      </c>
      <c r="N36" s="2">
        <f>IF(SUMPRODUCT(--(-B33:M33&gt;B36:M36))=0,"cabe en el capital","NO cabe")</f>
        <v/>
      </c>
    </row>
    <row r="37">
      <c r="A37" t="inlineStr">
        <is>
          <t>Mes en que flujo neto ≥ 1 sueldo</t>
        </is>
      </c>
      <c r="B37">
        <f>IF(B32&gt;=Globales!$B$9,1,"")</f>
        <v/>
      </c>
      <c r="C37">
        <f>IF(C32&gt;=Globales!$B$9,2,"")</f>
        <v/>
      </c>
      <c r="D37">
        <f>IF(D32&gt;=Globales!$B$9,3,"")</f>
        <v/>
      </c>
      <c r="E37">
        <f>IF(E32&gt;=Globales!$B$9,4,"")</f>
        <v/>
      </c>
      <c r="F37">
        <f>IF(F32&gt;=Globales!$B$9,5,"")</f>
        <v/>
      </c>
      <c r="G37">
        <f>IF(G32&gt;=Globales!$B$9,6,"")</f>
        <v/>
      </c>
      <c r="H37">
        <f>IF(H32&gt;=Globales!$B$9,7,"")</f>
        <v/>
      </c>
      <c r="I37">
        <f>IF(I32&gt;=Globales!$B$9,8,"")</f>
        <v/>
      </c>
      <c r="J37">
        <f>IF(J32&gt;=Globales!$B$9,9,"")</f>
        <v/>
      </c>
      <c r="K37">
        <f>IF(K32&gt;=Globales!$B$9,10,"")</f>
        <v/>
      </c>
      <c r="L37">
        <f>IF(L32&gt;=Globales!$B$9,11,"")</f>
        <v/>
      </c>
      <c r="M37">
        <f>IF(M32&gt;=Globales!$B$9,12,"")</f>
        <v/>
      </c>
      <c r="N37" s="2">
        <f>IF(COUNT(B37:M37)=0,"no en 12 meses",MIN(B37:M37))</f>
        <v/>
      </c>
    </row>
    <row r="39">
      <c r="A39" s="2" t="inlineStr">
        <is>
          <t>Escenario optimista</t>
        </is>
      </c>
    </row>
    <row r="40">
      <c r="A40" t="inlineStr">
        <is>
          <t>Precio escenario</t>
        </is>
      </c>
      <c r="B40">
        <f>'I1 Supuestos'!$B$4*'I1 Supuestos'!$D$36</f>
        <v/>
      </c>
    </row>
    <row r="41">
      <c r="A41" t="inlineStr">
        <is>
          <t>Ingreso neto unitario</t>
        </is>
      </c>
      <c r="B41">
        <f>IF('I1 Supuestos'!$B$5=1,B40/(1+'I1 Supuestos'!$B$6),B40)</f>
        <v/>
      </c>
    </row>
    <row r="42">
      <c r="A42" t="inlineStr">
        <is>
          <t>Costo variable total unitario</t>
        </is>
      </c>
      <c r="B42">
        <f>'I1 Supuestos'!$B$30+B40*'I1 Supuestos'!$B$7+'I1 Supuestos'!$B$8+B41*'I1 Supuestos'!$B$9</f>
        <v/>
      </c>
    </row>
    <row r="43">
      <c r="A43" t="inlineStr">
        <is>
          <t>Costos fijos mensuales</t>
        </is>
      </c>
      <c r="B43">
        <f>'I1 Supuestos'!$B$24</f>
        <v/>
      </c>
    </row>
    <row r="44">
      <c r="A44" t="inlineStr">
        <is>
          <t>Inversión inicial</t>
        </is>
      </c>
      <c r="B44">
        <f>'I1 Supuestos'!$B$18</f>
        <v/>
      </c>
    </row>
    <row r="45">
      <c r="A45" s="3" t="inlineStr">
        <is>
          <t>Mes</t>
        </is>
      </c>
      <c r="B45" s="3" t="n">
        <v>1</v>
      </c>
      <c r="C45" s="3" t="n">
        <v>2</v>
      </c>
      <c r="D45" s="3" t="n">
        <v>3</v>
      </c>
      <c r="E45" s="3" t="n">
        <v>4</v>
      </c>
      <c r="F45" s="3" t="n">
        <v>5</v>
      </c>
      <c r="G45" s="3" t="n">
        <v>6</v>
      </c>
      <c r="H45" s="3" t="n">
        <v>7</v>
      </c>
      <c r="I45" s="3" t="n">
        <v>8</v>
      </c>
      <c r="J45" s="3" t="n">
        <v>9</v>
      </c>
      <c r="K45" s="3" t="n">
        <v>10</v>
      </c>
      <c r="L45" s="3" t="n">
        <v>11</v>
      </c>
      <c r="M45" s="3" t="n">
        <v>12</v>
      </c>
      <c r="N45" s="3" t="inlineStr">
        <is>
          <t>Total 12 m</t>
        </is>
      </c>
    </row>
    <row r="46">
      <c r="A46" t="inlineStr">
        <is>
          <t>Unidades</t>
        </is>
      </c>
      <c r="B46">
        <f>'I1 Supuestos'!$B$36*(1+'I1 Supuestos'!$C$36)^(1-1)</f>
        <v/>
      </c>
      <c r="C46">
        <f>'I1 Supuestos'!$B$36*(1+'I1 Supuestos'!$C$36)^(2-1)</f>
        <v/>
      </c>
      <c r="D46">
        <f>'I1 Supuestos'!$B$36*(1+'I1 Supuestos'!$C$36)^(3-1)</f>
        <v/>
      </c>
      <c r="E46">
        <f>'I1 Supuestos'!$B$36*(1+'I1 Supuestos'!$C$36)^(4-1)</f>
        <v/>
      </c>
      <c r="F46">
        <f>'I1 Supuestos'!$B$36*(1+'I1 Supuestos'!$C$36)^(5-1)</f>
        <v/>
      </c>
      <c r="G46">
        <f>'I1 Supuestos'!$B$36*(1+'I1 Supuestos'!$C$36)^(6-1)</f>
        <v/>
      </c>
      <c r="H46">
        <f>'I1 Supuestos'!$B$36*(1+'I1 Supuestos'!$C$36)^(7-1)</f>
        <v/>
      </c>
      <c r="I46">
        <f>'I1 Supuestos'!$B$36*(1+'I1 Supuestos'!$C$36)^(8-1)</f>
        <v/>
      </c>
      <c r="J46">
        <f>'I1 Supuestos'!$B$36*(1+'I1 Supuestos'!$C$36)^(9-1)</f>
        <v/>
      </c>
      <c r="K46">
        <f>'I1 Supuestos'!$B$36*(1+'I1 Supuestos'!$C$36)^(10-1)</f>
        <v/>
      </c>
      <c r="L46">
        <f>'I1 Supuestos'!$B$36*(1+'I1 Supuestos'!$C$36)^(11-1)</f>
        <v/>
      </c>
      <c r="M46">
        <f>'I1 Supuestos'!$B$36*(1+'I1 Supuestos'!$C$36)^(12-1)</f>
        <v/>
      </c>
      <c r="N46">
        <f>SUM(B46:M46)</f>
        <v/>
      </c>
    </row>
    <row r="47">
      <c r="A47" t="inlineStr">
        <is>
          <t>Ingresos netos</t>
        </is>
      </c>
      <c r="B47">
        <f>B46*$B$41</f>
        <v/>
      </c>
      <c r="C47">
        <f>C46*$B$41</f>
        <v/>
      </c>
      <c r="D47">
        <f>D46*$B$41</f>
        <v/>
      </c>
      <c r="E47">
        <f>E46*$B$41</f>
        <v/>
      </c>
      <c r="F47">
        <f>F46*$B$41</f>
        <v/>
      </c>
      <c r="G47">
        <f>G46*$B$41</f>
        <v/>
      </c>
      <c r="H47">
        <f>H46*$B$41</f>
        <v/>
      </c>
      <c r="I47">
        <f>I46*$B$41</f>
        <v/>
      </c>
      <c r="J47">
        <f>J46*$B$41</f>
        <v/>
      </c>
      <c r="K47">
        <f>K46*$B$41</f>
        <v/>
      </c>
      <c r="L47">
        <f>L46*$B$41</f>
        <v/>
      </c>
      <c r="M47">
        <f>M46*$B$41</f>
        <v/>
      </c>
      <c r="N47">
        <f>SUM(B47:M47)</f>
        <v/>
      </c>
    </row>
    <row r="48">
      <c r="A48" t="inlineStr">
        <is>
          <t>Costos variables</t>
        </is>
      </c>
      <c r="B48">
        <f>B46*$B$42</f>
        <v/>
      </c>
      <c r="C48">
        <f>C46*$B$42</f>
        <v/>
      </c>
      <c r="D48">
        <f>D46*$B$42</f>
        <v/>
      </c>
      <c r="E48">
        <f>E46*$B$42</f>
        <v/>
      </c>
      <c r="F48">
        <f>F46*$B$42</f>
        <v/>
      </c>
      <c r="G48">
        <f>G46*$B$42</f>
        <v/>
      </c>
      <c r="H48">
        <f>H46*$B$42</f>
        <v/>
      </c>
      <c r="I48">
        <f>I46*$B$42</f>
        <v/>
      </c>
      <c r="J48">
        <f>J46*$B$42</f>
        <v/>
      </c>
      <c r="K48">
        <f>K46*$B$42</f>
        <v/>
      </c>
      <c r="L48">
        <f>L46*$B$42</f>
        <v/>
      </c>
      <c r="M48">
        <f>M46*$B$42</f>
        <v/>
      </c>
      <c r="N48">
        <f>SUM(B48:M48)</f>
        <v/>
      </c>
    </row>
    <row r="49">
      <c r="A49" t="inlineStr">
        <is>
          <t>Costos fijos</t>
        </is>
      </c>
      <c r="B49">
        <f>$B$43</f>
        <v/>
      </c>
      <c r="C49">
        <f>$B$43</f>
        <v/>
      </c>
      <c r="D49">
        <f>$B$43</f>
        <v/>
      </c>
      <c r="E49">
        <f>$B$43</f>
        <v/>
      </c>
      <c r="F49">
        <f>$B$43</f>
        <v/>
      </c>
      <c r="G49">
        <f>$B$43</f>
        <v/>
      </c>
      <c r="H49">
        <f>$B$43</f>
        <v/>
      </c>
      <c r="I49">
        <f>$B$43</f>
        <v/>
      </c>
      <c r="J49">
        <f>$B$43</f>
        <v/>
      </c>
      <c r="K49">
        <f>$B$43</f>
        <v/>
      </c>
      <c r="L49">
        <f>$B$43</f>
        <v/>
      </c>
      <c r="M49">
        <f>$B$43</f>
        <v/>
      </c>
      <c r="N49">
        <f>SUM(B49:M49)</f>
        <v/>
      </c>
    </row>
    <row r="50">
      <c r="A50" t="inlineStr">
        <is>
          <t>Flujo neto</t>
        </is>
      </c>
      <c r="B50">
        <f>B47-B48-B49</f>
        <v/>
      </c>
      <c r="C50">
        <f>C47-C48-C49</f>
        <v/>
      </c>
      <c r="D50">
        <f>D47-D48-D49</f>
        <v/>
      </c>
      <c r="E50">
        <f>E47-E48-E49</f>
        <v/>
      </c>
      <c r="F50">
        <f>F47-F48-F49</f>
        <v/>
      </c>
      <c r="G50">
        <f>G47-G48-G49</f>
        <v/>
      </c>
      <c r="H50">
        <f>H47-H48-H49</f>
        <v/>
      </c>
      <c r="I50">
        <f>I47-I48-I49</f>
        <v/>
      </c>
      <c r="J50">
        <f>J47-J48-J49</f>
        <v/>
      </c>
      <c r="K50">
        <f>K47-K48-K49</f>
        <v/>
      </c>
      <c r="L50">
        <f>L47-L48-L49</f>
        <v/>
      </c>
      <c r="M50">
        <f>M47-M48-M49</f>
        <v/>
      </c>
      <c r="N50">
        <f>SUM(B50:M50)</f>
        <v/>
      </c>
    </row>
    <row r="51">
      <c r="A51" t="inlineStr">
        <is>
          <t>Acumulado (tras inversión)</t>
        </is>
      </c>
      <c r="B51">
        <f>-$B$44+B50</f>
        <v/>
      </c>
      <c r="C51">
        <f>B51+C50</f>
        <v/>
      </c>
      <c r="D51">
        <f>C51+D50</f>
        <v/>
      </c>
      <c r="E51">
        <f>D51+E50</f>
        <v/>
      </c>
      <c r="F51">
        <f>E51+F50</f>
        <v/>
      </c>
      <c r="G51">
        <f>F51+G50</f>
        <v/>
      </c>
      <c r="H51">
        <f>G51+H50</f>
        <v/>
      </c>
      <c r="I51">
        <f>H51+I50</f>
        <v/>
      </c>
      <c r="J51">
        <f>I51+J50</f>
        <v/>
      </c>
      <c r="K51">
        <f>J51+K50</f>
        <v/>
      </c>
      <c r="L51">
        <f>K51+L50</f>
        <v/>
      </c>
      <c r="M51">
        <f>L51+M50</f>
        <v/>
      </c>
      <c r="N51" s="2">
        <f>M51</f>
        <v/>
      </c>
    </row>
    <row r="52">
      <c r="A52" t="inlineStr">
        <is>
          <t>Mes en que acumulado ≥ 0</t>
        </is>
      </c>
      <c r="B52">
        <f>IF(B51&gt;=0,1,"")</f>
        <v/>
      </c>
      <c r="C52">
        <f>IF(C51&gt;=0,2,"")</f>
        <v/>
      </c>
      <c r="D52">
        <f>IF(D51&gt;=0,3,"")</f>
        <v/>
      </c>
      <c r="E52">
        <f>IF(E51&gt;=0,4,"")</f>
        <v/>
      </c>
      <c r="F52">
        <f>IF(F51&gt;=0,5,"")</f>
        <v/>
      </c>
      <c r="G52">
        <f>IF(G51&gt;=0,6,"")</f>
        <v/>
      </c>
      <c r="H52">
        <f>IF(H51&gt;=0,7,"")</f>
        <v/>
      </c>
      <c r="I52">
        <f>IF(I51&gt;=0,8,"")</f>
        <v/>
      </c>
      <c r="J52">
        <f>IF(J51&gt;=0,9,"")</f>
        <v/>
      </c>
      <c r="K52">
        <f>IF(K51&gt;=0,10,"")</f>
        <v/>
      </c>
      <c r="L52">
        <f>IF(L51&gt;=0,11,"")</f>
        <v/>
      </c>
      <c r="M52">
        <f>IF(M51&gt;=0,12,"")</f>
        <v/>
      </c>
      <c r="N52" s="2">
        <f>IF(COUNT(B52:M52)=0,"no en 12 meses",MIN(B52:M52))</f>
        <v/>
      </c>
    </row>
    <row r="53">
      <c r="A53" t="inlineStr">
        <is>
          <t>Horas/semana</t>
        </is>
      </c>
      <c r="B53">
        <f>'I1 Supuestos'!$B$10+'I1 Supuestos'!$B$11*B46/(4.333333333333333)</f>
        <v/>
      </c>
      <c r="C53">
        <f>'I1 Supuestos'!$B$10+'I1 Supuestos'!$B$11*C46/(4.333333333333333)</f>
        <v/>
      </c>
      <c r="D53">
        <f>'I1 Supuestos'!$B$10+'I1 Supuestos'!$B$11*D46/(4.333333333333333)</f>
        <v/>
      </c>
      <c r="E53">
        <f>'I1 Supuestos'!$B$10+'I1 Supuestos'!$B$11*E46/(4.333333333333333)</f>
        <v/>
      </c>
      <c r="F53">
        <f>'I1 Supuestos'!$B$10+'I1 Supuestos'!$B$11*F46/(4.333333333333333)</f>
        <v/>
      </c>
      <c r="G53">
        <f>'I1 Supuestos'!$B$10+'I1 Supuestos'!$B$11*G46/(4.333333333333333)</f>
        <v/>
      </c>
      <c r="H53">
        <f>'I1 Supuestos'!$B$10+'I1 Supuestos'!$B$11*H46/(4.333333333333333)</f>
        <v/>
      </c>
      <c r="I53">
        <f>'I1 Supuestos'!$B$10+'I1 Supuestos'!$B$11*I46/(4.333333333333333)</f>
        <v/>
      </c>
      <c r="J53">
        <f>'I1 Supuestos'!$B$10+'I1 Supuestos'!$B$11*J46/(4.333333333333333)</f>
        <v/>
      </c>
      <c r="K53">
        <f>'I1 Supuestos'!$B$10+'I1 Supuestos'!$B$11*K46/(4.333333333333333)</f>
        <v/>
      </c>
      <c r="L53">
        <f>'I1 Supuestos'!$B$10+'I1 Supuestos'!$B$11*L46/(4.333333333333333)</f>
        <v/>
      </c>
      <c r="M53">
        <f>'I1 Supuestos'!$B$10+'I1 Supuestos'!$B$11*M46/(4.333333333333333)</f>
        <v/>
      </c>
      <c r="N53" s="2">
        <f>MAX(B53:M53)</f>
        <v/>
      </c>
    </row>
    <row r="54">
      <c r="A54" t="inlineStr">
        <is>
          <t>Capital disponible (inicial + aportes)</t>
        </is>
      </c>
      <c r="B54">
        <f>Globales!$B$2+Globales!$B$3*1</f>
        <v/>
      </c>
      <c r="C54">
        <f>Globales!$B$2+Globales!$B$3*2</f>
        <v/>
      </c>
      <c r="D54">
        <f>Globales!$B$2+Globales!$B$3*3</f>
        <v/>
      </c>
      <c r="E54">
        <f>Globales!$B$2+Globales!$B$3*4</f>
        <v/>
      </c>
      <c r="F54">
        <f>Globales!$B$2+Globales!$B$3*5</f>
        <v/>
      </c>
      <c r="G54">
        <f>Globales!$B$2+Globales!$B$3*6</f>
        <v/>
      </c>
      <c r="H54">
        <f>Globales!$B$2+Globales!$B$3*7</f>
        <v/>
      </c>
      <c r="I54">
        <f>Globales!$B$2+Globales!$B$3*8</f>
        <v/>
      </c>
      <c r="J54">
        <f>Globales!$B$2+Globales!$B$3*9</f>
        <v/>
      </c>
      <c r="K54">
        <f>Globales!$B$2+Globales!$B$3*10</f>
        <v/>
      </c>
      <c r="L54">
        <f>Globales!$B$2+Globales!$B$3*11</f>
        <v/>
      </c>
      <c r="M54">
        <f>Globales!$B$2+Globales!$B$3*12</f>
        <v/>
      </c>
      <c r="N54" s="2">
        <f>IF(SUMPRODUCT(--(-B51:M51&gt;B54:M54))=0,"cabe en el capital","NO cabe")</f>
        <v/>
      </c>
    </row>
    <row r="55">
      <c r="A55" t="inlineStr">
        <is>
          <t>Mes en que flujo neto ≥ 1 sueldo</t>
        </is>
      </c>
      <c r="B55">
        <f>IF(B50&gt;=Globales!$B$9,1,"")</f>
        <v/>
      </c>
      <c r="C55">
        <f>IF(C50&gt;=Globales!$B$9,2,"")</f>
        <v/>
      </c>
      <c r="D55">
        <f>IF(D50&gt;=Globales!$B$9,3,"")</f>
        <v/>
      </c>
      <c r="E55">
        <f>IF(E50&gt;=Globales!$B$9,4,"")</f>
        <v/>
      </c>
      <c r="F55">
        <f>IF(F50&gt;=Globales!$B$9,5,"")</f>
        <v/>
      </c>
      <c r="G55">
        <f>IF(G50&gt;=Globales!$B$9,6,"")</f>
        <v/>
      </c>
      <c r="H55">
        <f>IF(H50&gt;=Globales!$B$9,7,"")</f>
        <v/>
      </c>
      <c r="I55">
        <f>IF(I50&gt;=Globales!$B$9,8,"")</f>
        <v/>
      </c>
      <c r="J55">
        <f>IF(J50&gt;=Globales!$B$9,9,"")</f>
        <v/>
      </c>
      <c r="K55">
        <f>IF(K50&gt;=Globales!$B$9,10,"")</f>
        <v/>
      </c>
      <c r="L55">
        <f>IF(L50&gt;=Globales!$B$9,11,"")</f>
        <v/>
      </c>
      <c r="M55">
        <f>IF(M50&gt;=Globales!$B$9,12,"")</f>
        <v/>
      </c>
      <c r="N55" s="2">
        <f>IF(COUNT(B55:M55)=0,"no en 12 meses",MIN(B55:M55))</f>
        <v/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Sensibilidad — 1. Chatbot WhatsApp + panel (fichas 08+09+14) — escenario base, ±20 % una variable a la vez</t>
        </is>
      </c>
    </row>
    <row r="2">
      <c r="A2" t="inlineStr">
        <is>
          <t>Resultado 12 m = Σ unidades × margen unitario − 12 × fijos − inversión; Σ unidades = u1·((1+g)^12−1)/g</t>
        </is>
      </c>
    </row>
    <row r="3">
      <c r="A3" t="inlineStr">
        <is>
          <t>Variación</t>
        </is>
      </c>
      <c r="B3" s="5" t="n">
        <v>0.2</v>
      </c>
    </row>
    <row r="4">
      <c r="A4" s="3" t="inlineStr">
        <is>
          <t>Variable</t>
        </is>
      </c>
      <c r="B4" s="3" t="inlineStr">
        <is>
          <t>Valor base</t>
        </is>
      </c>
      <c r="C4" s="3" t="inlineStr">
        <is>
          <t>Resultado base</t>
        </is>
      </c>
      <c r="D4" s="3" t="inlineStr">
        <is>
          <t>Resultado −var</t>
        </is>
      </c>
      <c r="E4" s="3" t="inlineStr">
        <is>
          <t>Resultado +var</t>
        </is>
      </c>
      <c r="F4" s="3" t="inlineStr">
        <is>
          <t>Rango (abs)</t>
        </is>
      </c>
    </row>
    <row r="5">
      <c r="A5" t="inlineStr">
        <is>
          <t>precio</t>
        </is>
      </c>
      <c r="B5">
        <f>'I1 Supuestos'!$B$4</f>
        <v/>
      </c>
      <c r="C5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5">
        <f>IF('I1 Supuestos'!$C$35=0,12*'I1 Supuestos'!$B$35,'I1 Supuestos'!$B$35*((1+'I1 Supuestos'!$C$35)^12-1)/'I1 Supuestos'!$C$35)*(IF('I1 Supuestos'!$B$5=1,(('I1 Supuestos'!$B$4*(1-$B$3))*'I1 Supuestos'!$D$35)/(1+'I1 Supuestos'!$B$6),(('I1 Supuestos'!$B$4*(1-$B$3))*'I1 Supuestos'!$D$35))-('I1 Supuestos'!$B$30+(('I1 Supuestos'!$B$4*(1-$B$3))*'I1 Supuestos'!$D$35)*'I1 Supuestos'!$B$7+'I1 Supuestos'!$B$8+IF('I1 Supuestos'!$B$5=1,(('I1 Supuestos'!$B$4*(1-$B$3))*'I1 Supuestos'!$D$35)/(1+'I1 Supuestos'!$B$6),(('I1 Supuestos'!$B$4*(1-$B$3))*'I1 Supuestos'!$D$35))*'I1 Supuestos'!$B$9))-12*'I1 Supuestos'!$B$24-'I1 Supuestos'!$B$18</f>
        <v/>
      </c>
      <c r="E5">
        <f>IF('I1 Supuestos'!$C$35=0,12*'I1 Supuestos'!$B$35,'I1 Supuestos'!$B$35*((1+'I1 Supuestos'!$C$35)^12-1)/'I1 Supuestos'!$C$35)*(IF('I1 Supuestos'!$B$5=1,(('I1 Supuestos'!$B$4*(1+$B$3))*'I1 Supuestos'!$D$35)/(1+'I1 Supuestos'!$B$6),(('I1 Supuestos'!$B$4*(1+$B$3))*'I1 Supuestos'!$D$35))-('I1 Supuestos'!$B$30+(('I1 Supuestos'!$B$4*(1+$B$3))*'I1 Supuestos'!$D$35)*'I1 Supuestos'!$B$7+'I1 Supuestos'!$B$8+IF('I1 Supuestos'!$B$5=1,(('I1 Supuestos'!$B$4*(1+$B$3))*'I1 Supuestos'!$D$35)/(1+'I1 Supuestos'!$B$6),(('I1 Supuestos'!$B$4*(1+$B$3))*'I1 Supuestos'!$D$35))*'I1 Supuestos'!$B$9))-12*'I1 Supuestos'!$B$24-'I1 Supuestos'!$B$18</f>
        <v/>
      </c>
      <c r="F5">
        <f>ABS(E5-D5)</f>
        <v/>
      </c>
    </row>
    <row r="6">
      <c r="A6" t="inlineStr">
        <is>
          <t>unidades_mes1</t>
        </is>
      </c>
      <c r="B6">
        <f>'I1 Supuestos'!$B$35</f>
        <v/>
      </c>
      <c r="C6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6">
        <f>IF('I1 Supuestos'!$C$35=0,12*('I1 Supuestos'!$B$35*(1-$B$3)),('I1 Supuestos'!$B$35*(1-$B$3))*((1+'I1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E6">
        <f>IF('I1 Supuestos'!$C$35=0,12*('I1 Supuestos'!$B$35*(1+$B$3)),('I1 Supuestos'!$B$35*(1+$B$3))*((1+'I1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F6">
        <f>ABS(E6-D6)</f>
        <v/>
      </c>
    </row>
    <row r="7">
      <c r="A7" t="inlineStr">
        <is>
          <t>crecimiento</t>
        </is>
      </c>
      <c r="B7">
        <f>'I1 Supuestos'!$C$35</f>
        <v/>
      </c>
      <c r="C7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7">
        <f>IF(('I1 Supuestos'!$C$35*(1-$B$3))=0,12*'I1 Supuestos'!$B$35,'I1 Supuestos'!$B$35*((1+('I1 Supuestos'!$C$35*(1-$B$3)))^12-1)/('I1 Supuestos'!$C$35*(1-$B$3)))*(IF('I1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E7">
        <f>IF(('I1 Supuestos'!$C$35*(1+$B$3))=0,12*'I1 Supuestos'!$B$35,'I1 Supuestos'!$B$35*((1+('I1 Supuestos'!$C$35*(1+$B$3)))^12-1)/('I1 Supuestos'!$C$35*(1+$B$3)))*(IF('I1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F7">
        <f>ABS(E7-D7)</f>
        <v/>
      </c>
    </row>
    <row r="8">
      <c r="A8" t="inlineStr">
        <is>
          <t>cv_directo</t>
        </is>
      </c>
      <c r="B8">
        <f>'I1 Supuestos'!$B$30</f>
        <v/>
      </c>
      <c r="C8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8">
        <f>IF('I1 Supuestos'!$C$35=0,12*'I1 Supuestos'!$B$35,'I1 Supuestos'!$B$35*((1+'I1 Supuestos'!$C$35)^12-1)/'I1 Supuestos'!$C$35)*(IF('I1 Supuestos'!$B$5=1,('I1 Supuestos'!$B$4*'I1 Supuestos'!$D$35)/(1+'I1 Supuestos'!$B$6),('I1 Supuestos'!$B$4*'I1 Supuestos'!$D$35))-(('I1 Supuestos'!$B$30*(1-$B$3))+('I1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E8">
        <f>IF('I1 Supuestos'!$C$35=0,12*'I1 Supuestos'!$B$35,'I1 Supuestos'!$B$35*((1+'I1 Supuestos'!$C$35)^12-1)/'I1 Supuestos'!$C$35)*(IF('I1 Supuestos'!$B$5=1,('I1 Supuestos'!$B$4*'I1 Supuestos'!$D$35)/(1+'I1 Supuestos'!$B$6),('I1 Supuestos'!$B$4*'I1 Supuestos'!$D$35))-(('I1 Supuestos'!$B$30*(1+$B$3))+('I1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F8">
        <f>ABS(E8-D8)</f>
        <v/>
      </c>
    </row>
    <row r="9">
      <c r="A9" t="inlineStr">
        <is>
          <t>fijos</t>
        </is>
      </c>
      <c r="B9">
        <f>'I1 Supuestos'!$B$24</f>
        <v/>
      </c>
      <c r="C9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9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Supuestos'!$B$9))-12*('I1 Supuestos'!$B$24*(1-$B$3))-'I1 Supuestos'!$B$18</f>
        <v/>
      </c>
      <c r="E9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Supuestos'!$B$9))-12*('I1 Supuestos'!$B$24*(1+$B$3))-'I1 Supuestos'!$B$18</f>
        <v/>
      </c>
      <c r="F9">
        <f>ABS(E9-D9)</f>
        <v/>
      </c>
    </row>
    <row r="10">
      <c r="A10" t="inlineStr">
        <is>
          <t>inversion</t>
        </is>
      </c>
      <c r="B10">
        <f>'I1 Supuestos'!$B$18</f>
        <v/>
      </c>
      <c r="C10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10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Supuestos'!$B$24-('I1 Supuestos'!$B$18*(1-$B$3))</f>
        <v/>
      </c>
      <c r="E10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Supuestos'!$B$24-('I1 Supuestos'!$B$18*(1+$B$3))</f>
        <v/>
      </c>
      <c r="F10">
        <f>ABS(E10-D10)</f>
        <v/>
      </c>
    </row>
    <row r="11">
      <c r="A11" t="inlineStr">
        <is>
          <t>tasa_pasarela</t>
        </is>
      </c>
      <c r="B11">
        <f>'I1 Supuestos'!$B$7</f>
        <v/>
      </c>
      <c r="C11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11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Supuestos'!$D$35)*('I1 Supuestos'!$B$7*(1-$B$3))+'I1 Supuestos'!$B$8+IF('I1 Supuestos'!$B$5=1,('I1 Supuestos'!$B$4*'I1 Supuestos'!$D$35)/(1+'I1 Supuestos'!$B$6),('I1 Supuestos'!$B$4*'I1 Supuestos'!$D$35))*'I1 Supuestos'!$B$9))-12*'I1 Supuestos'!$B$24-'I1 Supuestos'!$B$18</f>
        <v/>
      </c>
      <c r="E11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Supuestos'!$D$35)*('I1 Supuestos'!$B$7*(1+$B$3))+'I1 Supuestos'!$B$8+IF('I1 Supuestos'!$B$5=1,('I1 Supuestos'!$B$4*'I1 Supuestos'!$D$35)/(1+'I1 Supuestos'!$B$6),('I1 Supuestos'!$B$4*'I1 Supuestos'!$D$35))*'I1 Supuestos'!$B$9))-12*'I1 Supuestos'!$B$24-'I1 Supuestos'!$B$18</f>
        <v/>
      </c>
      <c r="F11">
        <f>ABS(E11-D11)</f>
        <v/>
      </c>
    </row>
    <row r="12">
      <c r="A12" t="inlineStr">
        <is>
          <t>tasa_impuesto_renta</t>
        </is>
      </c>
      <c r="B12">
        <f>'I1 Supuestos'!$B$9</f>
        <v/>
      </c>
      <c r="C12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Supuestos'!$D$35))*'I1 Supuestos'!$B$9))-12*'I1 Supuestos'!$B$24-'I1 Supuestos'!$B$18</f>
        <v/>
      </c>
      <c r="D12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Supuestos'!$D$35))*('I1 Supuestos'!$B$9*(1-$B$3))))-12*'I1 Supuestos'!$B$24-'I1 Supuestos'!$B$18</f>
        <v/>
      </c>
      <c r="E12">
        <f>IF('I1 Supuestos'!$C$35=0,12*'I1 Supuestos'!$B$35,'I1 Supuestos'!$B$35*((1+'I1 Supuestos'!$C$35)^12-1)/'I1 Supuestos'!$C$35)*(IF('I1 Supuestos'!$B$5=1,('I1 Supuestos'!$B$4*'I1 Supuestos'!$D$35)/(1+'I1 Supuestos'!$B$6),('I1 Supuestos'!$B$4*'I1 Supuestos'!$D$35))-('I1 Supuestos'!$B$30+('I1 Supuestos'!$B$4*'I1 Supuestos'!$D$35)*'I1 Supuestos'!$B$7+'I1 Supuestos'!$B$8+IF('I1 Supuestos'!$B$5=1,('I1 Supuestos'!$B$4*'I1 Supuestos'!$D$35)/(1+'I1 Supuestos'!$B$6),('I1 Supuestos'!$B$4*'I1 Supuestos'!$D$35))*('I1 Supuestos'!$B$9*(1+$B$3))))-12*'I1 Supuestos'!$B$24-'I1 Supuestos'!$B$18</f>
        <v/>
      </c>
      <c r="F12">
        <f>ABS(E12-D12)</f>
        <v/>
      </c>
    </row>
    <row r="14">
      <c r="A14" t="inlineStr">
        <is>
          <t>La variable con mayor 'Rango' es la que más mueve el resultado.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6" customWidth="1" min="3" max="3"/>
    <col width="40" customWidth="1" min="4" max="4"/>
    <col width="14" customWidth="1" min="5" max="5"/>
  </cols>
  <sheetData>
    <row r="1">
      <c r="A1" s="2" t="inlineStr">
        <is>
          <t>Idea: 2. Cliente incógnito + micro-capacitación (ficha 10)</t>
        </is>
      </c>
    </row>
    <row r="2">
      <c r="A2" t="inlineStr">
        <is>
          <t>Unidad: un servicio: visita incógnita + informe + sesión de capacitación</t>
        </is>
      </c>
    </row>
    <row r="3">
      <c r="A3" s="2" t="inlineStr">
        <is>
          <t>Concepto</t>
        </is>
      </c>
      <c r="B3" t="inlineStr">
        <is>
          <t>Valor</t>
        </is>
      </c>
      <c r="C3" t="inlineStr">
        <is>
          <t>Origen</t>
        </is>
      </c>
      <c r="D3" t="inlineStr">
        <is>
          <t>Nota</t>
        </is>
      </c>
    </row>
    <row r="4">
      <c r="A4" t="inlineStr">
        <is>
          <t>Precio de venta al cliente (S/)</t>
        </is>
      </c>
      <c r="B4" s="5" t="n">
        <v>180</v>
      </c>
      <c r="C4" t="inlineStr">
        <is>
          <t>SUPUESTO: por validar — dentro del rango S/ 120–250 de la ficha 10; S-09 fija el piso en S/ 100; con IGV incluido</t>
        </is>
      </c>
      <c r="D4" t="inlineStr"/>
    </row>
    <row r="5">
      <c r="A5" t="inlineStr">
        <is>
          <t>¿Precio incluye IGV? (1 = sí, 0 = no)</t>
        </is>
      </c>
      <c r="B5" s="5" t="n">
        <v>1</v>
      </c>
      <c r="C5" t="inlineStr">
        <is>
          <t>regla</t>
        </is>
      </c>
      <c r="D5" t="inlineStr"/>
    </row>
    <row r="6">
      <c r="A6" t="inlineStr">
        <is>
          <t>Tasa IGV</t>
        </is>
      </c>
      <c r="B6" s="5" t="n">
        <v>0.18</v>
      </c>
      <c r="C6" t="inlineStr">
        <is>
          <t>VERIFICADO: TUO Ley del IGV (16 %) + IPM (2 %) = 18 %, vigente; sin informe legal aún — confirmar con asesor-legal-tributario-peru</t>
        </is>
      </c>
      <c r="D6" t="inlineStr">
        <is>
          <t>precio al cliente con IGV incluido</t>
        </is>
      </c>
    </row>
    <row r="7">
      <c r="A7" t="inlineStr">
        <is>
          <t>Comisión pasarela (%)</t>
        </is>
      </c>
      <c r="B7" s="5" t="n">
        <v>0</v>
      </c>
      <c r="C7" t="inlineStr">
        <is>
          <t>SUPUESTO: por validar — cobro por Yape/Plin o transferencia entre personas naturales, sin comisión; la variante con Culqi (3,44 % + US$ 0,20) se calcula aparte</t>
        </is>
      </c>
      <c r="D7" t="inlineStr"/>
    </row>
    <row r="8">
      <c r="A8" t="inlineStr">
        <is>
          <t>Comisión pasarela fija por transacción (S/)</t>
        </is>
      </c>
      <c r="B8" s="5" t="n">
        <v>0</v>
      </c>
      <c r="C8" t="inlineStr">
        <is>
          <t>SUPUESTO: por validar — igual que tasa_pasarela</t>
        </is>
      </c>
      <c r="D8" t="inlineStr"/>
    </row>
    <row r="9">
      <c r="A9" t="inlineStr">
        <is>
          <t>Impuesto a la renta (% sobre ingreso neto)</t>
        </is>
      </c>
      <c r="B9" s="5" t="n">
        <v>0.015</v>
      </c>
      <c r="C9" t="inlineStr">
        <is>
          <t>SUPUESTO: por validar — RER (1,5 % de ingresos netos mensuales) como régimen uniforme y conservador para las cinco ideas; permite emitir factura a negocios. Variantes Nuevo RUS y 4.ª categoría se calculan aparte. Lo define el asesor legal en la Etapa 2</t>
        </is>
      </c>
      <c r="D9" t="inlineStr"/>
    </row>
    <row r="10">
      <c r="A10" t="inlineStr">
        <is>
          <t>Horas fijas por semana</t>
        </is>
      </c>
      <c r="B10" s="5" t="n">
        <v>3</v>
      </c>
      <c r="C10" t="inlineStr">
        <is>
          <t>ESTIMADO: venta por mensaje directo, contenido en redes y coordinación</t>
        </is>
      </c>
      <c r="D10" t="inlineStr"/>
    </row>
    <row r="11">
      <c r="A11" t="inlineStr">
        <is>
          <t>Horas por unidad vendida</t>
        </is>
      </c>
      <c r="B11" s="5" t="n">
        <v>6</v>
      </c>
      <c r="C11" t="inlineStr">
        <is>
          <t>ESTIMADO: ficha 10: visita 1–1,5 h + informe 2 h + capacitación 1–1,5 h + coordinación 1 h</t>
        </is>
      </c>
      <c r="D11" t="inlineStr"/>
    </row>
    <row r="13">
      <c r="A13" s="2" t="inlineStr">
        <is>
          <t>Inversión inicial (S/)</t>
        </is>
      </c>
    </row>
    <row r="14">
      <c r="A14" t="inlineStr">
        <is>
          <t>consumo en 3 visitas de muestra (portafolio de informes)</t>
        </is>
      </c>
      <c r="B14" s="5" t="n">
        <v>75</v>
      </c>
      <c r="C14" t="inlineStr">
        <is>
          <t>ESTIMADO: ficha 10: S/ 15–30 por visita × 3 visitas a S/ 25</t>
        </is>
      </c>
      <c r="D14" t="inlineStr"/>
    </row>
    <row r="15">
      <c r="A15" t="inlineStr">
        <is>
          <t>transporte a las 3 visitas de muestra</t>
        </is>
      </c>
      <c r="B15" s="5" t="n">
        <v>30</v>
      </c>
      <c r="C15" t="inlineStr">
        <is>
          <t>ESTIMADO: S/ 10 ida y vuelta en transporte público por visita</t>
        </is>
      </c>
      <c r="D15" t="inlineStr"/>
    </row>
    <row r="16">
      <c r="A16" t="inlineStr">
        <is>
          <t>plantilla de pauta e informe (Canva/Docs gratuitos)</t>
        </is>
      </c>
      <c r="B16" s="5" t="n">
        <v>0</v>
      </c>
      <c r="C16" t="inlineStr">
        <is>
          <t>ESTIMADO: herramientas gratuitas; se redacta desde cero (S-06)</t>
        </is>
      </c>
      <c r="D16" t="inlineStr"/>
    </row>
    <row r="17">
      <c r="A17" s="2" t="inlineStr">
        <is>
          <t>TOTAL inversión inicial (s/)</t>
        </is>
      </c>
      <c r="B17">
        <f>SUM(B14:B16)</f>
        <v/>
      </c>
      <c r="C17" t="inlineStr">
        <is>
          <t>fórmula</t>
        </is>
      </c>
      <c r="D17" t="inlineStr"/>
    </row>
    <row r="19">
      <c r="A19" s="2" t="inlineStr">
        <is>
          <t>Costos fijos mensuales (S/)</t>
        </is>
      </c>
    </row>
    <row r="20">
      <c r="A20" t="inlineStr">
        <is>
          <t>promoción mínima en Instagram (publicaciones impulsadas)</t>
        </is>
      </c>
      <c r="B20" s="5" t="n">
        <v>40</v>
      </c>
      <c r="C20" t="inlineStr">
        <is>
          <t>SUPUESTO: por validar — mínimo para llegar a dueños sin prospección en frío (F4)</t>
        </is>
      </c>
      <c r="D20" t="inlineStr"/>
    </row>
    <row r="21">
      <c r="A21" t="inlineStr">
        <is>
          <t>herramientas digitales (Canva, Google gratuitos)</t>
        </is>
      </c>
      <c r="B21" s="5" t="n">
        <v>0</v>
      </c>
      <c r="C21" t="inlineStr">
        <is>
          <t>ESTIMADO: planes gratuitos</t>
        </is>
      </c>
      <c r="D21" t="inlineStr"/>
    </row>
    <row r="22">
      <c r="A22" t="inlineStr">
        <is>
          <t>contabilidad / declaraciones</t>
        </is>
      </c>
      <c r="B22" s="5" t="n">
        <v>0</v>
      </c>
      <c r="C22" t="inlineStr">
        <is>
          <t>SUPUESTO: por validar — declaran ellos mismos en SUNAT Virtual; un contador costaría S/ 50–150/mes</t>
        </is>
      </c>
      <c r="D22" t="inlineStr"/>
    </row>
    <row r="23">
      <c r="A23" s="2" t="inlineStr">
        <is>
          <t>TOTAL costos fijos mensuales (s/)</t>
        </is>
      </c>
      <c r="B23">
        <f>SUM(B20:B22)</f>
        <v/>
      </c>
      <c r="C23" t="inlineStr">
        <is>
          <t>fórmula</t>
        </is>
      </c>
      <c r="D23" t="inlineStr"/>
    </row>
    <row r="25">
      <c r="A25" s="2" t="inlineStr">
        <is>
          <t>Costo variable directo por unidad (S/)</t>
        </is>
      </c>
    </row>
    <row r="26">
      <c r="A26" t="inlineStr">
        <is>
          <t>consumo durante la visita incógnita</t>
        </is>
      </c>
      <c r="B26" s="5" t="n">
        <v>25</v>
      </c>
      <c r="C26" t="inlineStr">
        <is>
          <t>ESTIMADO: ficha 10 (S/ 15–30)</t>
        </is>
      </c>
      <c r="D26" t="inlineStr"/>
    </row>
    <row r="27">
      <c r="A27" t="inlineStr">
        <is>
          <t>transporte: visita + sesión de capacitación</t>
        </is>
      </c>
      <c r="B27" s="5" t="n">
        <v>20</v>
      </c>
      <c r="C27" t="inlineStr">
        <is>
          <t>ESTIMADO: 2 desplazamientos ida y vuelta × S/ 10 en Lima Norte</t>
        </is>
      </c>
      <c r="D27" t="inlineStr"/>
    </row>
    <row r="28">
      <c r="A28" t="inlineStr">
        <is>
          <t>material de la sesión (impresiones)</t>
        </is>
      </c>
      <c r="B28" s="5" t="n">
        <v>5</v>
      </c>
      <c r="C28" t="inlineStr">
        <is>
          <t>ESTIMADO: ~10 hojas impresas</t>
        </is>
      </c>
      <c r="D28" t="inlineStr"/>
    </row>
    <row r="29">
      <c r="A29" s="2" t="inlineStr">
        <is>
          <t>TOTAL costo variable directo por unidad (s/)</t>
        </is>
      </c>
      <c r="B29">
        <f>SUM(B26:B28)</f>
        <v/>
      </c>
      <c r="C29" t="inlineStr">
        <is>
          <t>fórmula</t>
        </is>
      </c>
      <c r="D29" t="inlineStr"/>
    </row>
    <row r="31">
      <c r="A31" s="2" t="inlineStr">
        <is>
          <t>Escenarios</t>
        </is>
      </c>
    </row>
    <row r="32">
      <c r="A32" t="inlineStr">
        <is>
          <t>Escenario</t>
        </is>
      </c>
      <c r="B32" t="inlineStr">
        <is>
          <t>Unidades mes 1</t>
        </is>
      </c>
      <c r="C32" t="inlineStr">
        <is>
          <t>Crecimiento mensual</t>
        </is>
      </c>
      <c r="D32" t="inlineStr">
        <is>
          <t>Factor precio</t>
        </is>
      </c>
      <c r="E32" t="inlineStr">
        <is>
          <t>Origen</t>
        </is>
      </c>
    </row>
    <row r="33">
      <c r="A33" t="inlineStr">
        <is>
          <t>pesimista</t>
        </is>
      </c>
      <c r="B33" s="5" t="n">
        <v>1</v>
      </c>
      <c r="C33" s="5" t="n">
        <v>0</v>
      </c>
      <c r="D33" s="5" t="n">
        <v>0.75</v>
      </c>
      <c r="E33" t="inlineStr">
        <is>
          <t>SUPUESTO: por validar — 1 servicio al mes a conocidos con 25 % de descuento y sin referidos: los dueños esperan el informe gratis (ficha 10)</t>
        </is>
      </c>
    </row>
    <row r="34">
      <c r="A34" t="inlineStr">
        <is>
          <t>base</t>
        </is>
      </c>
      <c r="B34" s="5" t="n">
        <v>2</v>
      </c>
      <c r="C34" s="5" t="n">
        <v>0.15</v>
      </c>
      <c r="D34" s="5" t="n">
        <v>1</v>
      </c>
      <c r="E34" t="inlineStr">
        <is>
          <t>SUPUESTO: por validar — 2 locales en el mes 1 (conocidos y locales que ya frecuentan) y +15 %/mes por referidos entre dueños</t>
        </is>
      </c>
    </row>
    <row r="35">
      <c r="A35" t="inlineStr">
        <is>
          <t>optimista</t>
        </is>
      </c>
      <c r="B35" s="5" t="n">
        <v>3</v>
      </c>
      <c r="C35" s="5" t="n">
        <v>0.2</v>
      </c>
      <c r="D35" s="5" t="n">
        <v>1</v>
      </c>
      <c r="E35" t="inlineStr">
        <is>
          <t>SUPUESTO: por validar — 3 en el mes 1 y +20 %/mes; cada cliente refiere a otro dueño del barrio</t>
        </is>
      </c>
    </row>
    <row r="37">
      <c r="A37" t="inlineStr">
        <is>
          <t>Horas/semana requeridas (pico: mes 12 del escenario base)</t>
        </is>
      </c>
      <c r="B37">
        <f>'I2 Supuestos'!$B$10+'I2 Supuestos'!$B$11*'I2 Supuestos'!$B$34*(1+'I2 Supuestos'!$C$34)^(12-1)/(4.333333333333333)</f>
        <v/>
      </c>
      <c r="C37" t="inlineStr">
        <is>
          <t>ESTIMADO: horas fijas/semana + horas por unidad × unidades del mes 12 del escenario base ÷ 4,33 semanas/mes (pico del año 1)</t>
        </is>
      </c>
      <c r="D37" t="inlineStr"/>
    </row>
    <row r="38">
      <c r="A38" t="inlineStr">
        <is>
          <t>Rango del precio por validar (mín – máx)</t>
        </is>
      </c>
      <c r="B38" s="5" t="n">
        <v>120</v>
      </c>
      <c r="C38" s="5" t="n">
        <v>250</v>
      </c>
      <c r="D38" t="inlineStr">
        <is>
          <t>ver hoja Unitario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0" customWidth="1" min="3" max="3"/>
  </cols>
  <sheetData>
    <row r="1">
      <c r="A1" s="2" t="inlineStr">
        <is>
          <t>Economía unitaria — 2. Cliente incógnito + micro-capacitación (ficha 10) (precio de lista)</t>
        </is>
      </c>
    </row>
    <row r="2">
      <c r="A2" t="inlineStr">
        <is>
          <t>Concepto</t>
        </is>
      </c>
      <c r="B2" t="inlineStr">
        <is>
          <t>S/</t>
        </is>
      </c>
      <c r="C2" t="inlineStr">
        <is>
          <t>Fórmula</t>
        </is>
      </c>
    </row>
    <row r="3">
      <c r="A3" t="inlineStr">
        <is>
          <t>Precio al cliente</t>
        </is>
      </c>
      <c r="B3">
        <f>'I2 Supuestos'!$B$4</f>
        <v/>
      </c>
      <c r="C3" t="inlineStr">
        <is>
          <t>'='I2 Supuestos'!$B$4</t>
        </is>
      </c>
    </row>
    <row r="4">
      <c r="A4" t="inlineStr">
        <is>
          <t>Ingreso neto (sin IGV)</t>
        </is>
      </c>
      <c r="B4">
        <f>IF('I2 Supuestos'!$B$5=1,'I2 Unitario'!$B$3/(1+'I2 Supuestos'!$B$6),'I2 Unitario'!$B$3)</f>
        <v/>
      </c>
      <c r="C4" t="inlineStr">
        <is>
          <t>'=IF('I2 Supuestos'!$B$5=1,'I2 Unitario'!$B$3/(1+'I2 Supuestos'!$B$6),'I2 Unitario'!$B$3)</t>
        </is>
      </c>
    </row>
    <row r="5">
      <c r="A5" t="inlineStr">
        <is>
          <t>Comisión pasarela</t>
        </is>
      </c>
      <c r="B5">
        <f>'I2 Unitario'!$B$3*'I2 Supuestos'!$B$7+'I2 Supuestos'!$B$8</f>
        <v/>
      </c>
      <c r="C5" t="inlineStr">
        <is>
          <t>'='I2 Unitario'!$B$3*'I2 Supuestos'!$B$7+'I2 Supuestos'!$B$8</t>
        </is>
      </c>
    </row>
    <row r="6">
      <c r="A6" t="inlineStr">
        <is>
          <t>Impuesto a la renta</t>
        </is>
      </c>
      <c r="B6">
        <f>'I2 Unitario'!$B$4*'I2 Supuestos'!$B$9</f>
        <v/>
      </c>
      <c r="C6" t="inlineStr">
        <is>
          <t>'='I2 Unitario'!$B$4*'I2 Supuestos'!$B$9</t>
        </is>
      </c>
    </row>
    <row r="7">
      <c r="A7" t="inlineStr">
        <is>
          <t>Costo variable directo</t>
        </is>
      </c>
      <c r="B7">
        <f>'I2 Supuestos'!$B$29</f>
        <v/>
      </c>
      <c r="C7" t="inlineStr">
        <is>
          <t>'='I2 Supuestos'!$B$29</t>
        </is>
      </c>
    </row>
    <row r="8">
      <c r="A8" t="inlineStr">
        <is>
          <t>Costo variable total</t>
        </is>
      </c>
      <c r="B8">
        <f>'I2 Unitario'!$B$7+'I2 Unitario'!$B$5+'I2 Unitario'!$B$6</f>
        <v/>
      </c>
      <c r="C8" t="inlineStr">
        <is>
          <t>'='I2 Unitario'!$B$7+'I2 Unitario'!$B$5+'I2 Unitario'!$B$6</t>
        </is>
      </c>
    </row>
    <row r="9">
      <c r="A9" t="inlineStr">
        <is>
          <t>Margen por unidad</t>
        </is>
      </c>
      <c r="B9">
        <f>'I2 Unitario'!$B$4-'I2 Unitario'!$B$8</f>
        <v/>
      </c>
      <c r="C9" t="inlineStr">
        <is>
          <t>'='I2 Unitario'!$B$4-'I2 Unitario'!$B$8</t>
        </is>
      </c>
    </row>
    <row r="10">
      <c r="A10" t="inlineStr">
        <is>
          <t>Margen % sobre ingreso neto</t>
        </is>
      </c>
      <c r="B10">
        <f>IF('I2 Unitario'!$B$4=0,0,'I2 Unitario'!$B$9/'I2 Unitario'!$B$4)</f>
        <v/>
      </c>
      <c r="C10" t="inlineStr">
        <is>
          <t>'=IF('I2 Unitario'!$B$4=0,0,'I2 Unitario'!$B$9/'I2 Unitario'!$B$4)</t>
        </is>
      </c>
    </row>
    <row r="11">
      <c r="A11" t="inlineStr">
        <is>
          <t>Costos fijos mensuales</t>
        </is>
      </c>
      <c r="B11">
        <f>'I2 Supuestos'!$B$23</f>
        <v/>
      </c>
      <c r="C11" t="inlineStr">
        <is>
          <t>'='I2 Supuestos'!$B$23</t>
        </is>
      </c>
    </row>
    <row r="12">
      <c r="A12" t="inlineStr">
        <is>
          <t>Punto de equilibrio (unidades/mes)</t>
        </is>
      </c>
      <c r="B12">
        <f>IF('I2 Unitario'!$B$9&gt;0,'I2 Unitario'!$B$11/'I2 Unitario'!$B$9,"no alcanzable")</f>
        <v/>
      </c>
      <c r="C12" t="inlineStr">
        <is>
          <t>'=IF('I2 Unitario'!$B$9&gt;0,'I2 Unitario'!$B$11/'I2 Unitario'!$B$9,"no alcanzable")</t>
        </is>
      </c>
    </row>
    <row r="13">
      <c r="A13" t="inlineStr">
        <is>
          <t>Punto de equilibrio (S/ ventas/mes)</t>
        </is>
      </c>
      <c r="B13">
        <f>IF(ISNUMBER('I2 Unitario'!$B$12),'I2 Unitario'!$B$12*'I2 Unitario'!$B$3,"no alcanzable")</f>
        <v/>
      </c>
      <c r="C13" t="inlineStr">
        <is>
          <t>'=IF(ISNUMBER('I2 Unitario'!$B$12),'I2 Unitario'!$B$12*'I2 Unitario'!$B$3,"no alcanzable")</t>
        </is>
      </c>
    </row>
    <row r="14">
      <c r="A14" t="inlineStr">
        <is>
          <t>Inversión inicial</t>
        </is>
      </c>
      <c r="B14">
        <f>'I2 Supuestos'!$B$17</f>
        <v/>
      </c>
      <c r="C14" t="inlineStr">
        <is>
          <t>'='I2 Supuestos'!$B$17</t>
        </is>
      </c>
    </row>
    <row r="15">
      <c r="A15" t="inlineStr">
        <is>
          <t>F1: inversión ≤ tope</t>
        </is>
      </c>
      <c r="B15">
        <f>IF('I2 Unitario'!$B$14&lt;=Globales!$B$4,"sí","NO")</f>
        <v/>
      </c>
      <c r="C15" t="inlineStr">
        <is>
          <t>'=IF('I2 Unitario'!$B$14&lt;=Globales!$B$4,"sí","NO")</t>
        </is>
      </c>
    </row>
    <row r="16">
      <c r="A16" t="inlineStr">
        <is>
          <t>F1: fijos ≤ tope mensual</t>
        </is>
      </c>
      <c r="B16">
        <f>IF('I2 Unitario'!$B$11&lt;=Globales!$B$5,"sí","NO")</f>
        <v/>
      </c>
      <c r="C16" t="inlineStr">
        <is>
          <t>'=IF('I2 Unitario'!$B$11&lt;=Globales!$B$5,"sí","NO")</t>
        </is>
      </c>
    </row>
    <row r="17">
      <c r="A17" t="inlineStr">
        <is>
          <t>Unidades/mes para cubrir 1 sueldo</t>
        </is>
      </c>
      <c r="B17">
        <f>IF('I2 Unitario'!$B$9&gt;0,('I2 Unitario'!$B$11+Globales!$B$9)/'I2 Unitario'!$B$9,"no alcanzable")</f>
        <v/>
      </c>
      <c r="C17" t="inlineStr">
        <is>
          <t>'=IF('I2 Unitario'!$B$9&gt;0,('I2 Unitario'!$B$11+Globales!$B$9)/'I2 Unitario'!$B$9,"no alcanzable")</t>
        </is>
      </c>
    </row>
    <row r="18">
      <c r="A18" t="inlineStr">
        <is>
          <t>Horas/semana para cubrir 1 sueldo</t>
        </is>
      </c>
      <c r="B18">
        <f>IF(ISNUMBER('I2 Unitario'!$B$17),'I2 Supuestos'!$B$10+'I2 Supuestos'!$B$11*'I2 Unitario'!$B$17/(4.333333333333333),"n/a")</f>
        <v/>
      </c>
      <c r="C18" t="inlineStr">
        <is>
          <t>'=IF(ISNUMBER('I2 Unitario'!$B$17),'I2 Supuestos'!$B$10+'I2 Supuestos'!$B$11*'I2 Unitario'!$B$17/(4.333333333333333),"n/a")</t>
        </is>
      </c>
    </row>
    <row r="19">
      <c r="A19" t="inlineStr">
        <is>
          <t>Unidades/mes para cubrir 2 sueldos</t>
        </is>
      </c>
      <c r="B19">
        <f>IF('I2 Unitario'!$B$9&gt;0,('I2 Unitario'!$B$11+2*Globales!$B$9)/'I2 Unitario'!$B$9,"no alcanzable")</f>
        <v/>
      </c>
      <c r="C19" t="inlineStr">
        <is>
          <t>'=IF('I2 Unitario'!$B$9&gt;0,('I2 Unitario'!$B$11+2*Globales!$B$9)/'I2 Unitario'!$B$9,"no alcanzable")</t>
        </is>
      </c>
    </row>
    <row r="20">
      <c r="A20" t="inlineStr">
        <is>
          <t>Horas/semana para cubrir 2 sueldos</t>
        </is>
      </c>
      <c r="B20">
        <f>IF(ISNUMBER('I2 Unitario'!$B$19),'I2 Supuestos'!$B$10+'I2 Supuestos'!$B$11*'I2 Unitario'!$B$19/(4.333333333333333),"n/a")</f>
        <v/>
      </c>
      <c r="C20" t="inlineStr">
        <is>
          <t>'=IF(ISNUMBER('I2 Unitario'!$B$19),'I2 Supuestos'!$B$10+'I2 Supuestos'!$B$11*'I2 Unitario'!$B$19/(4.333333333333333),"n/a")</t>
        </is>
      </c>
    </row>
    <row r="21"/>
    <row r="22">
      <c r="A22" s="2" t="inlineStr">
        <is>
          <t>Variantes (mismo precio de lista)</t>
        </is>
      </c>
      <c r="B22" t="inlineStr">
        <is>
          <t>Margen/u</t>
        </is>
      </c>
    </row>
    <row r="23">
      <c r="A23" t="inlineStr">
        <is>
          <t>Nuevo RUS cat. 1: sin IGV, sin renta %, +cuota como fijo → margen</t>
        </is>
      </c>
      <c r="B23">
        <f>'I2 Unitario'!$B$3-('I2 Unitario'!$B$7+'I2 Unitario'!$B$5)</f>
        <v/>
      </c>
      <c r="C23" t="inlineStr">
        <is>
          <t>'='I2 Unitario'!$B$3-('I2 Unitario'!$B$7+'I2 Unitario'!$B$5)</t>
        </is>
      </c>
    </row>
    <row r="24">
      <c r="A24" t="inlineStr">
        <is>
          <t>Nuevo RUS: punto de equilibrio (u/mes)</t>
        </is>
      </c>
      <c r="B24">
        <f>IF('I2 Unitario'!$B$23&gt;0,('I2 Unitario'!$B$11+Globales!$B$10)/'I2 Unitario'!$B$23,"no alcanzable")</f>
        <v/>
      </c>
      <c r="C24" t="inlineStr">
        <is>
          <t>'=IF('I2 Unitario'!$B$23&gt;0,('I2 Unitario'!$B$11+Globales!$B$10)/'I2 Unitario'!$B$23,"no alcanzable")</t>
        </is>
      </c>
    </row>
    <row r="25">
      <c r="A25" t="inlineStr">
        <is>
          <t>4.ª categoría: sin IGV, retención 8 % → margen</t>
        </is>
      </c>
      <c r="B25">
        <f>'I2 Unitario'!$B$3-('I2 Unitario'!$B$7+'I2 Unitario'!$B$5+'I2 Unitario'!$B$3*Globales!$B$11)</f>
        <v/>
      </c>
      <c r="C25" t="inlineStr">
        <is>
          <t>'='I2 Unitario'!$B$3-('I2 Unitario'!$B$7+'I2 Unitario'!$B$5+'I2 Unitario'!$B$3*Globales!$B$11)</t>
        </is>
      </c>
    </row>
    <row r="26">
      <c r="A26" t="inlineStr">
        <is>
          <t>RER + pasarela Culqi → margen</t>
        </is>
      </c>
      <c r="B26">
        <f>'I2 Unitario'!$B$4-('I2 Unitario'!$B$7+'I2 Unitario'!$B$3*Globales!$B$12+Globales!$B$13+'I2 Unitario'!$B$6)</f>
        <v/>
      </c>
      <c r="C26" t="inlineStr">
        <is>
          <t>'='I2 Unitario'!$B$4-('I2 Unitario'!$B$7+'I2 Unitario'!$B$3*Globales!$B$12+Globales!$B$13+'I2 Unitario'!$B$6)</t>
        </is>
      </c>
    </row>
    <row r="27">
      <c r="A27" t="inlineStr">
        <is>
          <t>Margen/u con precio mínimo del rango</t>
        </is>
      </c>
      <c r="B27">
        <f>IF('I2 Supuestos'!$B$5=1,'I2 Supuestos'!$B$38/(1+'I2 Supuestos'!$B$6),'I2 Supuestos'!$B$38)-('I2 Unitario'!$B$7+'I2 Supuestos'!$B$38*'I2 Supuestos'!$B$7+'I2 Supuestos'!$B$8+IF('I2 Supuestos'!$B$5=1,'I2 Supuestos'!$B$38/(1+'I2 Supuestos'!$B$6),'I2 Supuestos'!$B$38)*'I2 Supuestos'!$B$9)</f>
        <v/>
      </c>
      <c r="C27" t="inlineStr">
        <is>
          <t>'=IF('I2 Supuestos'!$B$5=1,'I2 Supuestos'!$B$38/(1+'I2 Supuestos'!$B$6),'I2 Supuestos'!$B$38)-('I2 Unitario'!$B$7+'I2 Supuestos'!$B$38*'I2 Supuestos'!$B$7+'I2 Supuestos'!$B$8+IF('I2 Supuestos'!$B$5=1,'I2 Supuestos'!$B$38/(1+'I2 Supuestos'!$B$6),'I2 Supuestos'!$B$38)*'I2 Supuestos'!$B$9)</t>
        </is>
      </c>
    </row>
    <row r="28">
      <c r="A28" t="inlineStr">
        <is>
          <t>Margen/u con precio máximo del rango</t>
        </is>
      </c>
      <c r="B28">
        <f>IF('I2 Supuestos'!$B$5=1,'I2 Supuestos'!$C$38/(1+'I2 Supuestos'!$B$6),'I2 Supuestos'!$C$38)-('I2 Unitario'!$B$7+'I2 Supuestos'!$C$38*'I2 Supuestos'!$B$7+'I2 Supuestos'!$B$8+IF('I2 Supuestos'!$B$5=1,'I2 Supuestos'!$C$38/(1+'I2 Supuestos'!$B$6),'I2 Supuestos'!$C$38)*'I2 Supuestos'!$B$9)</f>
        <v/>
      </c>
      <c r="C28" t="inlineStr">
        <is>
          <t>'=IF('I2 Supuestos'!$B$5=1,'I2 Supuestos'!$C$38/(1+'I2 Supuestos'!$B$6),'I2 Supuestos'!$C$38)-('I2 Unitario'!$B$7+'I2 Supuestos'!$C$38*'I2 Supuestos'!$B$7+'I2 Supuestos'!$B$8+IF('I2 Supuestos'!$B$5=1,'I2 Supuestos'!$C$38/(1+'I2 Supuestos'!$B$6),'I2 Supuestos'!$C$38)*'I2 Supuestos'!$B$9)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Flujo de caja a 12 meses — 2. Cliente incógnito + micro-capacitación (ficha 10). Escenarios, no predicciones.</t>
        </is>
      </c>
    </row>
    <row r="3">
      <c r="A3" s="2" t="inlineStr">
        <is>
          <t>Escenario pesimista</t>
        </is>
      </c>
    </row>
    <row r="4">
      <c r="A4" t="inlineStr">
        <is>
          <t>Precio escenario</t>
        </is>
      </c>
      <c r="B4">
        <f>'I2 Supuestos'!$B$4*'I2 Supuestos'!$D$33</f>
        <v/>
      </c>
    </row>
    <row r="5">
      <c r="A5" t="inlineStr">
        <is>
          <t>Ingreso neto unitario</t>
        </is>
      </c>
      <c r="B5">
        <f>IF('I2 Supuestos'!$B$5=1,B4/(1+'I2 Supuestos'!$B$6),B4)</f>
        <v/>
      </c>
    </row>
    <row r="6">
      <c r="A6" t="inlineStr">
        <is>
          <t>Costo variable total unitario</t>
        </is>
      </c>
      <c r="B6">
        <f>'I2 Supuestos'!$B$29+B4*'I2 Supuestos'!$B$7+'I2 Supuestos'!$B$8+B5*'I2 Supuestos'!$B$9</f>
        <v/>
      </c>
    </row>
    <row r="7">
      <c r="A7" t="inlineStr">
        <is>
          <t>Costos fijos mensuales</t>
        </is>
      </c>
      <c r="B7">
        <f>'I2 Supuestos'!$B$23</f>
        <v/>
      </c>
    </row>
    <row r="8">
      <c r="A8" t="inlineStr">
        <is>
          <t>Inversión inicial</t>
        </is>
      </c>
      <c r="B8">
        <f>'I2 Supuestos'!$B$17</f>
        <v/>
      </c>
    </row>
    <row r="9">
      <c r="A9" s="3" t="inlineStr">
        <is>
          <t>Mes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  <c r="I9" s="3" t="n">
        <v>8</v>
      </c>
      <c r="J9" s="3" t="n">
        <v>9</v>
      </c>
      <c r="K9" s="3" t="n">
        <v>10</v>
      </c>
      <c r="L9" s="3" t="n">
        <v>11</v>
      </c>
      <c r="M9" s="3" t="n">
        <v>12</v>
      </c>
      <c r="N9" s="3" t="inlineStr">
        <is>
          <t>Total 12 m</t>
        </is>
      </c>
    </row>
    <row r="10">
      <c r="A10" t="inlineStr">
        <is>
          <t>Unidades</t>
        </is>
      </c>
      <c r="B10">
        <f>'I2 Supuestos'!$B$33*(1+'I2 Supuestos'!$C$33)^(1-1)</f>
        <v/>
      </c>
      <c r="C10">
        <f>'I2 Supuestos'!$B$33*(1+'I2 Supuestos'!$C$33)^(2-1)</f>
        <v/>
      </c>
      <c r="D10">
        <f>'I2 Supuestos'!$B$33*(1+'I2 Supuestos'!$C$33)^(3-1)</f>
        <v/>
      </c>
      <c r="E10">
        <f>'I2 Supuestos'!$B$33*(1+'I2 Supuestos'!$C$33)^(4-1)</f>
        <v/>
      </c>
      <c r="F10">
        <f>'I2 Supuestos'!$B$33*(1+'I2 Supuestos'!$C$33)^(5-1)</f>
        <v/>
      </c>
      <c r="G10">
        <f>'I2 Supuestos'!$B$33*(1+'I2 Supuestos'!$C$33)^(6-1)</f>
        <v/>
      </c>
      <c r="H10">
        <f>'I2 Supuestos'!$B$33*(1+'I2 Supuestos'!$C$33)^(7-1)</f>
        <v/>
      </c>
      <c r="I10">
        <f>'I2 Supuestos'!$B$33*(1+'I2 Supuestos'!$C$33)^(8-1)</f>
        <v/>
      </c>
      <c r="J10">
        <f>'I2 Supuestos'!$B$33*(1+'I2 Supuestos'!$C$33)^(9-1)</f>
        <v/>
      </c>
      <c r="K10">
        <f>'I2 Supuestos'!$B$33*(1+'I2 Supuestos'!$C$33)^(10-1)</f>
        <v/>
      </c>
      <c r="L10">
        <f>'I2 Supuestos'!$B$33*(1+'I2 Supuestos'!$C$33)^(11-1)</f>
        <v/>
      </c>
      <c r="M10">
        <f>'I2 Supuestos'!$B$33*(1+'I2 Supuestos'!$C$33)^(12-1)</f>
        <v/>
      </c>
      <c r="N10">
        <f>SUM(B10:M10)</f>
        <v/>
      </c>
    </row>
    <row r="11">
      <c r="A11" t="inlineStr">
        <is>
          <t>Ingresos netos</t>
        </is>
      </c>
      <c r="B11">
        <f>B10*$B$5</f>
        <v/>
      </c>
      <c r="C11">
        <f>C10*$B$5</f>
        <v/>
      </c>
      <c r="D11">
        <f>D10*$B$5</f>
        <v/>
      </c>
      <c r="E11">
        <f>E10*$B$5</f>
        <v/>
      </c>
      <c r="F11">
        <f>F10*$B$5</f>
        <v/>
      </c>
      <c r="G11">
        <f>G10*$B$5</f>
        <v/>
      </c>
      <c r="H11">
        <f>H10*$B$5</f>
        <v/>
      </c>
      <c r="I11">
        <f>I10*$B$5</f>
        <v/>
      </c>
      <c r="J11">
        <f>J10*$B$5</f>
        <v/>
      </c>
      <c r="K11">
        <f>K10*$B$5</f>
        <v/>
      </c>
      <c r="L11">
        <f>L10*$B$5</f>
        <v/>
      </c>
      <c r="M11">
        <f>M10*$B$5</f>
        <v/>
      </c>
      <c r="N11">
        <f>SUM(B11:M11)</f>
        <v/>
      </c>
    </row>
    <row r="12">
      <c r="A12" t="inlineStr">
        <is>
          <t>Costos variables</t>
        </is>
      </c>
      <c r="B12">
        <f>B10*$B$6</f>
        <v/>
      </c>
      <c r="C12">
        <f>C10*$B$6</f>
        <v/>
      </c>
      <c r="D12">
        <f>D10*$B$6</f>
        <v/>
      </c>
      <c r="E12">
        <f>E10*$B$6</f>
        <v/>
      </c>
      <c r="F12">
        <f>F10*$B$6</f>
        <v/>
      </c>
      <c r="G12">
        <f>G10*$B$6</f>
        <v/>
      </c>
      <c r="H12">
        <f>H10*$B$6</f>
        <v/>
      </c>
      <c r="I12">
        <f>I10*$B$6</f>
        <v/>
      </c>
      <c r="J12">
        <f>J10*$B$6</f>
        <v/>
      </c>
      <c r="K12">
        <f>K10*$B$6</f>
        <v/>
      </c>
      <c r="L12">
        <f>L10*$B$6</f>
        <v/>
      </c>
      <c r="M12">
        <f>M10*$B$6</f>
        <v/>
      </c>
      <c r="N12">
        <f>SUM(B12:M12)</f>
        <v/>
      </c>
    </row>
    <row r="13">
      <c r="A13" t="inlineStr">
        <is>
          <t>Costos fijos</t>
        </is>
      </c>
      <c r="B13">
        <f>$B$7</f>
        <v/>
      </c>
      <c r="C13">
        <f>$B$7</f>
        <v/>
      </c>
      <c r="D13">
        <f>$B$7</f>
        <v/>
      </c>
      <c r="E13">
        <f>$B$7</f>
        <v/>
      </c>
      <c r="F13">
        <f>$B$7</f>
        <v/>
      </c>
      <c r="G13">
        <f>$B$7</f>
        <v/>
      </c>
      <c r="H13">
        <f>$B$7</f>
        <v/>
      </c>
      <c r="I13">
        <f>$B$7</f>
        <v/>
      </c>
      <c r="J13">
        <f>$B$7</f>
        <v/>
      </c>
      <c r="K13">
        <f>$B$7</f>
        <v/>
      </c>
      <c r="L13">
        <f>$B$7</f>
        <v/>
      </c>
      <c r="M13">
        <f>$B$7</f>
        <v/>
      </c>
      <c r="N13">
        <f>SUM(B13:M13)</f>
        <v/>
      </c>
    </row>
    <row r="14">
      <c r="A14" t="inlineStr">
        <is>
          <t>Flujo neto</t>
        </is>
      </c>
      <c r="B14">
        <f>B11-B12-B13</f>
        <v/>
      </c>
      <c r="C14">
        <f>C11-C12-C13</f>
        <v/>
      </c>
      <c r="D14">
        <f>D11-D12-D13</f>
        <v/>
      </c>
      <c r="E14">
        <f>E11-E12-E13</f>
        <v/>
      </c>
      <c r="F14">
        <f>F11-F12-F13</f>
        <v/>
      </c>
      <c r="G14">
        <f>G11-G12-G13</f>
        <v/>
      </c>
      <c r="H14">
        <f>H11-H12-H13</f>
        <v/>
      </c>
      <c r="I14">
        <f>I11-I12-I13</f>
        <v/>
      </c>
      <c r="J14">
        <f>J11-J12-J13</f>
        <v/>
      </c>
      <c r="K14">
        <f>K11-K12-K13</f>
        <v/>
      </c>
      <c r="L14">
        <f>L11-L12-L13</f>
        <v/>
      </c>
      <c r="M14">
        <f>M11-M12-M13</f>
        <v/>
      </c>
      <c r="N14">
        <f>SUM(B14:M14)</f>
        <v/>
      </c>
    </row>
    <row r="15">
      <c r="A15" t="inlineStr">
        <is>
          <t>Acumulado (tras inversión)</t>
        </is>
      </c>
      <c r="B15">
        <f>-$B$8+B14</f>
        <v/>
      </c>
      <c r="C15">
        <f>B15+C14</f>
        <v/>
      </c>
      <c r="D15">
        <f>C15+D14</f>
        <v/>
      </c>
      <c r="E15">
        <f>D15+E14</f>
        <v/>
      </c>
      <c r="F15">
        <f>E15+F14</f>
        <v/>
      </c>
      <c r="G15">
        <f>F15+G14</f>
        <v/>
      </c>
      <c r="H15">
        <f>G15+H14</f>
        <v/>
      </c>
      <c r="I15">
        <f>H15+I14</f>
        <v/>
      </c>
      <c r="J15">
        <f>I15+J14</f>
        <v/>
      </c>
      <c r="K15">
        <f>J15+K14</f>
        <v/>
      </c>
      <c r="L15">
        <f>K15+L14</f>
        <v/>
      </c>
      <c r="M15">
        <f>L15+M14</f>
        <v/>
      </c>
      <c r="N15" s="2">
        <f>M15</f>
        <v/>
      </c>
    </row>
    <row r="16">
      <c r="A16" t="inlineStr">
        <is>
          <t>Mes en que acumulado ≥ 0</t>
        </is>
      </c>
      <c r="B16">
        <f>IF(B15&gt;=0,1,"")</f>
        <v/>
      </c>
      <c r="C16">
        <f>IF(C15&gt;=0,2,"")</f>
        <v/>
      </c>
      <c r="D16">
        <f>IF(D15&gt;=0,3,"")</f>
        <v/>
      </c>
      <c r="E16">
        <f>IF(E15&gt;=0,4,"")</f>
        <v/>
      </c>
      <c r="F16">
        <f>IF(F15&gt;=0,5,"")</f>
        <v/>
      </c>
      <c r="G16">
        <f>IF(G15&gt;=0,6,"")</f>
        <v/>
      </c>
      <c r="H16">
        <f>IF(H15&gt;=0,7,"")</f>
        <v/>
      </c>
      <c r="I16">
        <f>IF(I15&gt;=0,8,"")</f>
        <v/>
      </c>
      <c r="J16">
        <f>IF(J15&gt;=0,9,"")</f>
        <v/>
      </c>
      <c r="K16">
        <f>IF(K15&gt;=0,10,"")</f>
        <v/>
      </c>
      <c r="L16">
        <f>IF(L15&gt;=0,11,"")</f>
        <v/>
      </c>
      <c r="M16">
        <f>IF(M15&gt;=0,12,"")</f>
        <v/>
      </c>
      <c r="N16" s="2">
        <f>IF(COUNT(B16:M16)=0,"no en 12 meses",MIN(B16:M16))</f>
        <v/>
      </c>
    </row>
    <row r="17">
      <c r="A17" t="inlineStr">
        <is>
          <t>Horas/semana</t>
        </is>
      </c>
      <c r="B17">
        <f>'I2 Supuestos'!$B$10+'I2 Supuestos'!$B$11*B10/(4.333333333333333)</f>
        <v/>
      </c>
      <c r="C17">
        <f>'I2 Supuestos'!$B$10+'I2 Supuestos'!$B$11*C10/(4.333333333333333)</f>
        <v/>
      </c>
      <c r="D17">
        <f>'I2 Supuestos'!$B$10+'I2 Supuestos'!$B$11*D10/(4.333333333333333)</f>
        <v/>
      </c>
      <c r="E17">
        <f>'I2 Supuestos'!$B$10+'I2 Supuestos'!$B$11*E10/(4.333333333333333)</f>
        <v/>
      </c>
      <c r="F17">
        <f>'I2 Supuestos'!$B$10+'I2 Supuestos'!$B$11*F10/(4.333333333333333)</f>
        <v/>
      </c>
      <c r="G17">
        <f>'I2 Supuestos'!$B$10+'I2 Supuestos'!$B$11*G10/(4.333333333333333)</f>
        <v/>
      </c>
      <c r="H17">
        <f>'I2 Supuestos'!$B$10+'I2 Supuestos'!$B$11*H10/(4.333333333333333)</f>
        <v/>
      </c>
      <c r="I17">
        <f>'I2 Supuestos'!$B$10+'I2 Supuestos'!$B$11*I10/(4.333333333333333)</f>
        <v/>
      </c>
      <c r="J17">
        <f>'I2 Supuestos'!$B$10+'I2 Supuestos'!$B$11*J10/(4.333333333333333)</f>
        <v/>
      </c>
      <c r="K17">
        <f>'I2 Supuestos'!$B$10+'I2 Supuestos'!$B$11*K10/(4.333333333333333)</f>
        <v/>
      </c>
      <c r="L17">
        <f>'I2 Supuestos'!$B$10+'I2 Supuestos'!$B$11*L10/(4.333333333333333)</f>
        <v/>
      </c>
      <c r="M17">
        <f>'I2 Supuestos'!$B$10+'I2 Supuestos'!$B$11*M10/(4.333333333333333)</f>
        <v/>
      </c>
      <c r="N17" s="2">
        <f>MAX(B17:M17)</f>
        <v/>
      </c>
    </row>
    <row r="18">
      <c r="A18" t="inlineStr">
        <is>
          <t>Capital disponible (inicial + aportes)</t>
        </is>
      </c>
      <c r="B18">
        <f>Globales!$B$2+Globales!$B$3*1</f>
        <v/>
      </c>
      <c r="C18">
        <f>Globales!$B$2+Globales!$B$3*2</f>
        <v/>
      </c>
      <c r="D18">
        <f>Globales!$B$2+Globales!$B$3*3</f>
        <v/>
      </c>
      <c r="E18">
        <f>Globales!$B$2+Globales!$B$3*4</f>
        <v/>
      </c>
      <c r="F18">
        <f>Globales!$B$2+Globales!$B$3*5</f>
        <v/>
      </c>
      <c r="G18">
        <f>Globales!$B$2+Globales!$B$3*6</f>
        <v/>
      </c>
      <c r="H18">
        <f>Globales!$B$2+Globales!$B$3*7</f>
        <v/>
      </c>
      <c r="I18">
        <f>Globales!$B$2+Globales!$B$3*8</f>
        <v/>
      </c>
      <c r="J18">
        <f>Globales!$B$2+Globales!$B$3*9</f>
        <v/>
      </c>
      <c r="K18">
        <f>Globales!$B$2+Globales!$B$3*10</f>
        <v/>
      </c>
      <c r="L18">
        <f>Globales!$B$2+Globales!$B$3*11</f>
        <v/>
      </c>
      <c r="M18">
        <f>Globales!$B$2+Globales!$B$3*12</f>
        <v/>
      </c>
      <c r="N18" s="2">
        <f>IF(SUMPRODUCT(--(-B15:M15&gt;B18:M18))=0,"cabe en el capital","NO cabe")</f>
        <v/>
      </c>
    </row>
    <row r="19">
      <c r="A19" t="inlineStr">
        <is>
          <t>Mes en que flujo neto ≥ 1 sueldo</t>
        </is>
      </c>
      <c r="B19">
        <f>IF(B14&gt;=Globales!$B$9,1,"")</f>
        <v/>
      </c>
      <c r="C19">
        <f>IF(C14&gt;=Globales!$B$9,2,"")</f>
        <v/>
      </c>
      <c r="D19">
        <f>IF(D14&gt;=Globales!$B$9,3,"")</f>
        <v/>
      </c>
      <c r="E19">
        <f>IF(E14&gt;=Globales!$B$9,4,"")</f>
        <v/>
      </c>
      <c r="F19">
        <f>IF(F14&gt;=Globales!$B$9,5,"")</f>
        <v/>
      </c>
      <c r="G19">
        <f>IF(G14&gt;=Globales!$B$9,6,"")</f>
        <v/>
      </c>
      <c r="H19">
        <f>IF(H14&gt;=Globales!$B$9,7,"")</f>
        <v/>
      </c>
      <c r="I19">
        <f>IF(I14&gt;=Globales!$B$9,8,"")</f>
        <v/>
      </c>
      <c r="J19">
        <f>IF(J14&gt;=Globales!$B$9,9,"")</f>
        <v/>
      </c>
      <c r="K19">
        <f>IF(K14&gt;=Globales!$B$9,10,"")</f>
        <v/>
      </c>
      <c r="L19">
        <f>IF(L14&gt;=Globales!$B$9,11,"")</f>
        <v/>
      </c>
      <c r="M19">
        <f>IF(M14&gt;=Globales!$B$9,12,"")</f>
        <v/>
      </c>
      <c r="N19" s="2">
        <f>IF(COUNT(B19:M19)=0,"no en 12 meses",MIN(B19:M19))</f>
        <v/>
      </c>
    </row>
    <row r="21">
      <c r="A21" s="2" t="inlineStr">
        <is>
          <t>Escenario base</t>
        </is>
      </c>
    </row>
    <row r="22">
      <c r="A22" t="inlineStr">
        <is>
          <t>Precio escenario</t>
        </is>
      </c>
      <c r="B22">
        <f>'I2 Supuestos'!$B$4*'I2 Supuestos'!$D$34</f>
        <v/>
      </c>
    </row>
    <row r="23">
      <c r="A23" t="inlineStr">
        <is>
          <t>Ingreso neto unitario</t>
        </is>
      </c>
      <c r="B23">
        <f>IF('I2 Supuestos'!$B$5=1,B22/(1+'I2 Supuestos'!$B$6),B22)</f>
        <v/>
      </c>
    </row>
    <row r="24">
      <c r="A24" t="inlineStr">
        <is>
          <t>Costo variable total unitario</t>
        </is>
      </c>
      <c r="B24">
        <f>'I2 Supuestos'!$B$29+B22*'I2 Supuestos'!$B$7+'I2 Supuestos'!$B$8+B23*'I2 Supuestos'!$B$9</f>
        <v/>
      </c>
    </row>
    <row r="25">
      <c r="A25" t="inlineStr">
        <is>
          <t>Costos fijos mensuales</t>
        </is>
      </c>
      <c r="B25">
        <f>'I2 Supuestos'!$B$23</f>
        <v/>
      </c>
    </row>
    <row r="26">
      <c r="A26" t="inlineStr">
        <is>
          <t>Inversión inicial</t>
        </is>
      </c>
      <c r="B26">
        <f>'I2 Supuestos'!$B$17</f>
        <v/>
      </c>
    </row>
    <row r="27">
      <c r="A27" s="3" t="inlineStr">
        <is>
          <t>Mes</t>
        </is>
      </c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  <c r="H27" s="3" t="n">
        <v>7</v>
      </c>
      <c r="I27" s="3" t="n">
        <v>8</v>
      </c>
      <c r="J27" s="3" t="n">
        <v>9</v>
      </c>
      <c r="K27" s="3" t="n">
        <v>10</v>
      </c>
      <c r="L27" s="3" t="n">
        <v>11</v>
      </c>
      <c r="M27" s="3" t="n">
        <v>12</v>
      </c>
      <c r="N27" s="3" t="inlineStr">
        <is>
          <t>Total 12 m</t>
        </is>
      </c>
    </row>
    <row r="28">
      <c r="A28" t="inlineStr">
        <is>
          <t>Unidades</t>
        </is>
      </c>
      <c r="B28">
        <f>'I2 Supuestos'!$B$34*(1+'I2 Supuestos'!$C$34)^(1-1)</f>
        <v/>
      </c>
      <c r="C28">
        <f>'I2 Supuestos'!$B$34*(1+'I2 Supuestos'!$C$34)^(2-1)</f>
        <v/>
      </c>
      <c r="D28">
        <f>'I2 Supuestos'!$B$34*(1+'I2 Supuestos'!$C$34)^(3-1)</f>
        <v/>
      </c>
      <c r="E28">
        <f>'I2 Supuestos'!$B$34*(1+'I2 Supuestos'!$C$34)^(4-1)</f>
        <v/>
      </c>
      <c r="F28">
        <f>'I2 Supuestos'!$B$34*(1+'I2 Supuestos'!$C$34)^(5-1)</f>
        <v/>
      </c>
      <c r="G28">
        <f>'I2 Supuestos'!$B$34*(1+'I2 Supuestos'!$C$34)^(6-1)</f>
        <v/>
      </c>
      <c r="H28">
        <f>'I2 Supuestos'!$B$34*(1+'I2 Supuestos'!$C$34)^(7-1)</f>
        <v/>
      </c>
      <c r="I28">
        <f>'I2 Supuestos'!$B$34*(1+'I2 Supuestos'!$C$34)^(8-1)</f>
        <v/>
      </c>
      <c r="J28">
        <f>'I2 Supuestos'!$B$34*(1+'I2 Supuestos'!$C$34)^(9-1)</f>
        <v/>
      </c>
      <c r="K28">
        <f>'I2 Supuestos'!$B$34*(1+'I2 Supuestos'!$C$34)^(10-1)</f>
        <v/>
      </c>
      <c r="L28">
        <f>'I2 Supuestos'!$B$34*(1+'I2 Supuestos'!$C$34)^(11-1)</f>
        <v/>
      </c>
      <c r="M28">
        <f>'I2 Supuestos'!$B$34*(1+'I2 Supuestos'!$C$34)^(12-1)</f>
        <v/>
      </c>
      <c r="N28">
        <f>SUM(B28:M28)</f>
        <v/>
      </c>
    </row>
    <row r="29">
      <c r="A29" t="inlineStr">
        <is>
          <t>Ingresos netos</t>
        </is>
      </c>
      <c r="B29">
        <f>B28*$B$23</f>
        <v/>
      </c>
      <c r="C29">
        <f>C28*$B$23</f>
        <v/>
      </c>
      <c r="D29">
        <f>D28*$B$23</f>
        <v/>
      </c>
      <c r="E29">
        <f>E28*$B$23</f>
        <v/>
      </c>
      <c r="F29">
        <f>F28*$B$23</f>
        <v/>
      </c>
      <c r="G29">
        <f>G28*$B$23</f>
        <v/>
      </c>
      <c r="H29">
        <f>H28*$B$23</f>
        <v/>
      </c>
      <c r="I29">
        <f>I28*$B$23</f>
        <v/>
      </c>
      <c r="J29">
        <f>J28*$B$23</f>
        <v/>
      </c>
      <c r="K29">
        <f>K28*$B$23</f>
        <v/>
      </c>
      <c r="L29">
        <f>L28*$B$23</f>
        <v/>
      </c>
      <c r="M29">
        <f>M28*$B$23</f>
        <v/>
      </c>
      <c r="N29">
        <f>SUM(B29:M29)</f>
        <v/>
      </c>
    </row>
    <row r="30">
      <c r="A30" t="inlineStr">
        <is>
          <t>Costos variables</t>
        </is>
      </c>
      <c r="B30">
        <f>B28*$B$24</f>
        <v/>
      </c>
      <c r="C30">
        <f>C28*$B$24</f>
        <v/>
      </c>
      <c r="D30">
        <f>D28*$B$24</f>
        <v/>
      </c>
      <c r="E30">
        <f>E28*$B$24</f>
        <v/>
      </c>
      <c r="F30">
        <f>F28*$B$24</f>
        <v/>
      </c>
      <c r="G30">
        <f>G28*$B$24</f>
        <v/>
      </c>
      <c r="H30">
        <f>H28*$B$24</f>
        <v/>
      </c>
      <c r="I30">
        <f>I28*$B$24</f>
        <v/>
      </c>
      <c r="J30">
        <f>J28*$B$24</f>
        <v/>
      </c>
      <c r="K30">
        <f>K28*$B$24</f>
        <v/>
      </c>
      <c r="L30">
        <f>L28*$B$24</f>
        <v/>
      </c>
      <c r="M30">
        <f>M28*$B$24</f>
        <v/>
      </c>
      <c r="N30">
        <f>SUM(B30:M30)</f>
        <v/>
      </c>
    </row>
    <row r="31">
      <c r="A31" t="inlineStr">
        <is>
          <t>Costos fijos</t>
        </is>
      </c>
      <c r="B31">
        <f>$B$25</f>
        <v/>
      </c>
      <c r="C31">
        <f>$B$25</f>
        <v/>
      </c>
      <c r="D31">
        <f>$B$25</f>
        <v/>
      </c>
      <c r="E31">
        <f>$B$25</f>
        <v/>
      </c>
      <c r="F31">
        <f>$B$25</f>
        <v/>
      </c>
      <c r="G31">
        <f>$B$25</f>
        <v/>
      </c>
      <c r="H31">
        <f>$B$25</f>
        <v/>
      </c>
      <c r="I31">
        <f>$B$25</f>
        <v/>
      </c>
      <c r="J31">
        <f>$B$25</f>
        <v/>
      </c>
      <c r="K31">
        <f>$B$25</f>
        <v/>
      </c>
      <c r="L31">
        <f>$B$25</f>
        <v/>
      </c>
      <c r="M31">
        <f>$B$25</f>
        <v/>
      </c>
      <c r="N31">
        <f>SUM(B31:M31)</f>
        <v/>
      </c>
    </row>
    <row r="32">
      <c r="A32" t="inlineStr">
        <is>
          <t>Flujo neto</t>
        </is>
      </c>
      <c r="B32">
        <f>B29-B30-B31</f>
        <v/>
      </c>
      <c r="C32">
        <f>C29-C30-C31</f>
        <v/>
      </c>
      <c r="D32">
        <f>D29-D30-D31</f>
        <v/>
      </c>
      <c r="E32">
        <f>E29-E30-E31</f>
        <v/>
      </c>
      <c r="F32">
        <f>F29-F30-F31</f>
        <v/>
      </c>
      <c r="G32">
        <f>G29-G30-G31</f>
        <v/>
      </c>
      <c r="H32">
        <f>H29-H30-H31</f>
        <v/>
      </c>
      <c r="I32">
        <f>I29-I30-I31</f>
        <v/>
      </c>
      <c r="J32">
        <f>J29-J30-J31</f>
        <v/>
      </c>
      <c r="K32">
        <f>K29-K30-K31</f>
        <v/>
      </c>
      <c r="L32">
        <f>L29-L30-L31</f>
        <v/>
      </c>
      <c r="M32">
        <f>M29-M30-M31</f>
        <v/>
      </c>
      <c r="N32">
        <f>SUM(B32:M32)</f>
        <v/>
      </c>
    </row>
    <row r="33">
      <c r="A33" t="inlineStr">
        <is>
          <t>Acumulado (tras inversión)</t>
        </is>
      </c>
      <c r="B33">
        <f>-$B$26+B32</f>
        <v/>
      </c>
      <c r="C33">
        <f>B33+C32</f>
        <v/>
      </c>
      <c r="D33">
        <f>C33+D32</f>
        <v/>
      </c>
      <c r="E33">
        <f>D33+E32</f>
        <v/>
      </c>
      <c r="F33">
        <f>E33+F32</f>
        <v/>
      </c>
      <c r="G33">
        <f>F33+G32</f>
        <v/>
      </c>
      <c r="H33">
        <f>G33+H32</f>
        <v/>
      </c>
      <c r="I33">
        <f>H33+I32</f>
        <v/>
      </c>
      <c r="J33">
        <f>I33+J32</f>
        <v/>
      </c>
      <c r="K33">
        <f>J33+K32</f>
        <v/>
      </c>
      <c r="L33">
        <f>K33+L32</f>
        <v/>
      </c>
      <c r="M33">
        <f>L33+M32</f>
        <v/>
      </c>
      <c r="N33" s="2">
        <f>M33</f>
        <v/>
      </c>
    </row>
    <row r="34">
      <c r="A34" t="inlineStr">
        <is>
          <t>Mes en que acumulado ≥ 0</t>
        </is>
      </c>
      <c r="B34">
        <f>IF(B33&gt;=0,1,"")</f>
        <v/>
      </c>
      <c r="C34">
        <f>IF(C33&gt;=0,2,"")</f>
        <v/>
      </c>
      <c r="D34">
        <f>IF(D33&gt;=0,3,"")</f>
        <v/>
      </c>
      <c r="E34">
        <f>IF(E33&gt;=0,4,"")</f>
        <v/>
      </c>
      <c r="F34">
        <f>IF(F33&gt;=0,5,"")</f>
        <v/>
      </c>
      <c r="G34">
        <f>IF(G33&gt;=0,6,"")</f>
        <v/>
      </c>
      <c r="H34">
        <f>IF(H33&gt;=0,7,"")</f>
        <v/>
      </c>
      <c r="I34">
        <f>IF(I33&gt;=0,8,"")</f>
        <v/>
      </c>
      <c r="J34">
        <f>IF(J33&gt;=0,9,"")</f>
        <v/>
      </c>
      <c r="K34">
        <f>IF(K33&gt;=0,10,"")</f>
        <v/>
      </c>
      <c r="L34">
        <f>IF(L33&gt;=0,11,"")</f>
        <v/>
      </c>
      <c r="M34">
        <f>IF(M33&gt;=0,12,"")</f>
        <v/>
      </c>
      <c r="N34" s="2">
        <f>IF(COUNT(B34:M34)=0,"no en 12 meses",MIN(B34:M34))</f>
        <v/>
      </c>
    </row>
    <row r="35">
      <c r="A35" t="inlineStr">
        <is>
          <t>Horas/semana</t>
        </is>
      </c>
      <c r="B35">
        <f>'I2 Supuestos'!$B$10+'I2 Supuestos'!$B$11*B28/(4.333333333333333)</f>
        <v/>
      </c>
      <c r="C35">
        <f>'I2 Supuestos'!$B$10+'I2 Supuestos'!$B$11*C28/(4.333333333333333)</f>
        <v/>
      </c>
      <c r="D35">
        <f>'I2 Supuestos'!$B$10+'I2 Supuestos'!$B$11*D28/(4.333333333333333)</f>
        <v/>
      </c>
      <c r="E35">
        <f>'I2 Supuestos'!$B$10+'I2 Supuestos'!$B$11*E28/(4.333333333333333)</f>
        <v/>
      </c>
      <c r="F35">
        <f>'I2 Supuestos'!$B$10+'I2 Supuestos'!$B$11*F28/(4.333333333333333)</f>
        <v/>
      </c>
      <c r="G35">
        <f>'I2 Supuestos'!$B$10+'I2 Supuestos'!$B$11*G28/(4.333333333333333)</f>
        <v/>
      </c>
      <c r="H35">
        <f>'I2 Supuestos'!$B$10+'I2 Supuestos'!$B$11*H28/(4.333333333333333)</f>
        <v/>
      </c>
      <c r="I35">
        <f>'I2 Supuestos'!$B$10+'I2 Supuestos'!$B$11*I28/(4.333333333333333)</f>
        <v/>
      </c>
      <c r="J35">
        <f>'I2 Supuestos'!$B$10+'I2 Supuestos'!$B$11*J28/(4.333333333333333)</f>
        <v/>
      </c>
      <c r="K35">
        <f>'I2 Supuestos'!$B$10+'I2 Supuestos'!$B$11*K28/(4.333333333333333)</f>
        <v/>
      </c>
      <c r="L35">
        <f>'I2 Supuestos'!$B$10+'I2 Supuestos'!$B$11*L28/(4.333333333333333)</f>
        <v/>
      </c>
      <c r="M35">
        <f>'I2 Supuestos'!$B$10+'I2 Supuestos'!$B$11*M28/(4.333333333333333)</f>
        <v/>
      </c>
      <c r="N35" s="2">
        <f>MAX(B35:M35)</f>
        <v/>
      </c>
    </row>
    <row r="36">
      <c r="A36" t="inlineStr">
        <is>
          <t>Capital disponible (inicial + aportes)</t>
        </is>
      </c>
      <c r="B36">
        <f>Globales!$B$2+Globales!$B$3*1</f>
        <v/>
      </c>
      <c r="C36">
        <f>Globales!$B$2+Globales!$B$3*2</f>
        <v/>
      </c>
      <c r="D36">
        <f>Globales!$B$2+Globales!$B$3*3</f>
        <v/>
      </c>
      <c r="E36">
        <f>Globales!$B$2+Globales!$B$3*4</f>
        <v/>
      </c>
      <c r="F36">
        <f>Globales!$B$2+Globales!$B$3*5</f>
        <v/>
      </c>
      <c r="G36">
        <f>Globales!$B$2+Globales!$B$3*6</f>
        <v/>
      </c>
      <c r="H36">
        <f>Globales!$B$2+Globales!$B$3*7</f>
        <v/>
      </c>
      <c r="I36">
        <f>Globales!$B$2+Globales!$B$3*8</f>
        <v/>
      </c>
      <c r="J36">
        <f>Globales!$B$2+Globales!$B$3*9</f>
        <v/>
      </c>
      <c r="K36">
        <f>Globales!$B$2+Globales!$B$3*10</f>
        <v/>
      </c>
      <c r="L36">
        <f>Globales!$B$2+Globales!$B$3*11</f>
        <v/>
      </c>
      <c r="M36">
        <f>Globales!$B$2+Globales!$B$3*12</f>
        <v/>
      </c>
      <c r="N36" s="2">
        <f>IF(SUMPRODUCT(--(-B33:M33&gt;B36:M36))=0,"cabe en el capital","NO cabe")</f>
        <v/>
      </c>
    </row>
    <row r="37">
      <c r="A37" t="inlineStr">
        <is>
          <t>Mes en que flujo neto ≥ 1 sueldo</t>
        </is>
      </c>
      <c r="B37">
        <f>IF(B32&gt;=Globales!$B$9,1,"")</f>
        <v/>
      </c>
      <c r="C37">
        <f>IF(C32&gt;=Globales!$B$9,2,"")</f>
        <v/>
      </c>
      <c r="D37">
        <f>IF(D32&gt;=Globales!$B$9,3,"")</f>
        <v/>
      </c>
      <c r="E37">
        <f>IF(E32&gt;=Globales!$B$9,4,"")</f>
        <v/>
      </c>
      <c r="F37">
        <f>IF(F32&gt;=Globales!$B$9,5,"")</f>
        <v/>
      </c>
      <c r="G37">
        <f>IF(G32&gt;=Globales!$B$9,6,"")</f>
        <v/>
      </c>
      <c r="H37">
        <f>IF(H32&gt;=Globales!$B$9,7,"")</f>
        <v/>
      </c>
      <c r="I37">
        <f>IF(I32&gt;=Globales!$B$9,8,"")</f>
        <v/>
      </c>
      <c r="J37">
        <f>IF(J32&gt;=Globales!$B$9,9,"")</f>
        <v/>
      </c>
      <c r="K37">
        <f>IF(K32&gt;=Globales!$B$9,10,"")</f>
        <v/>
      </c>
      <c r="L37">
        <f>IF(L32&gt;=Globales!$B$9,11,"")</f>
        <v/>
      </c>
      <c r="M37">
        <f>IF(M32&gt;=Globales!$B$9,12,"")</f>
        <v/>
      </c>
      <c r="N37" s="2">
        <f>IF(COUNT(B37:M37)=0,"no en 12 meses",MIN(B37:M37))</f>
        <v/>
      </c>
    </row>
    <row r="39">
      <c r="A39" s="2" t="inlineStr">
        <is>
          <t>Escenario optimista</t>
        </is>
      </c>
    </row>
    <row r="40">
      <c r="A40" t="inlineStr">
        <is>
          <t>Precio escenario</t>
        </is>
      </c>
      <c r="B40">
        <f>'I2 Supuestos'!$B$4*'I2 Supuestos'!$D$35</f>
        <v/>
      </c>
    </row>
    <row r="41">
      <c r="A41" t="inlineStr">
        <is>
          <t>Ingreso neto unitario</t>
        </is>
      </c>
      <c r="B41">
        <f>IF('I2 Supuestos'!$B$5=1,B40/(1+'I2 Supuestos'!$B$6),B40)</f>
        <v/>
      </c>
    </row>
    <row r="42">
      <c r="A42" t="inlineStr">
        <is>
          <t>Costo variable total unitario</t>
        </is>
      </c>
      <c r="B42">
        <f>'I2 Supuestos'!$B$29+B40*'I2 Supuestos'!$B$7+'I2 Supuestos'!$B$8+B41*'I2 Supuestos'!$B$9</f>
        <v/>
      </c>
    </row>
    <row r="43">
      <c r="A43" t="inlineStr">
        <is>
          <t>Costos fijos mensuales</t>
        </is>
      </c>
      <c r="B43">
        <f>'I2 Supuestos'!$B$23</f>
        <v/>
      </c>
    </row>
    <row r="44">
      <c r="A44" t="inlineStr">
        <is>
          <t>Inversión inicial</t>
        </is>
      </c>
      <c r="B44">
        <f>'I2 Supuestos'!$B$17</f>
        <v/>
      </c>
    </row>
    <row r="45">
      <c r="A45" s="3" t="inlineStr">
        <is>
          <t>Mes</t>
        </is>
      </c>
      <c r="B45" s="3" t="n">
        <v>1</v>
      </c>
      <c r="C45" s="3" t="n">
        <v>2</v>
      </c>
      <c r="D45" s="3" t="n">
        <v>3</v>
      </c>
      <c r="E45" s="3" t="n">
        <v>4</v>
      </c>
      <c r="F45" s="3" t="n">
        <v>5</v>
      </c>
      <c r="G45" s="3" t="n">
        <v>6</v>
      </c>
      <c r="H45" s="3" t="n">
        <v>7</v>
      </c>
      <c r="I45" s="3" t="n">
        <v>8</v>
      </c>
      <c r="J45" s="3" t="n">
        <v>9</v>
      </c>
      <c r="K45" s="3" t="n">
        <v>10</v>
      </c>
      <c r="L45" s="3" t="n">
        <v>11</v>
      </c>
      <c r="M45" s="3" t="n">
        <v>12</v>
      </c>
      <c r="N45" s="3" t="inlineStr">
        <is>
          <t>Total 12 m</t>
        </is>
      </c>
    </row>
    <row r="46">
      <c r="A46" t="inlineStr">
        <is>
          <t>Unidades</t>
        </is>
      </c>
      <c r="B46">
        <f>'I2 Supuestos'!$B$35*(1+'I2 Supuestos'!$C$35)^(1-1)</f>
        <v/>
      </c>
      <c r="C46">
        <f>'I2 Supuestos'!$B$35*(1+'I2 Supuestos'!$C$35)^(2-1)</f>
        <v/>
      </c>
      <c r="D46">
        <f>'I2 Supuestos'!$B$35*(1+'I2 Supuestos'!$C$35)^(3-1)</f>
        <v/>
      </c>
      <c r="E46">
        <f>'I2 Supuestos'!$B$35*(1+'I2 Supuestos'!$C$35)^(4-1)</f>
        <v/>
      </c>
      <c r="F46">
        <f>'I2 Supuestos'!$B$35*(1+'I2 Supuestos'!$C$35)^(5-1)</f>
        <v/>
      </c>
      <c r="G46">
        <f>'I2 Supuestos'!$B$35*(1+'I2 Supuestos'!$C$35)^(6-1)</f>
        <v/>
      </c>
      <c r="H46">
        <f>'I2 Supuestos'!$B$35*(1+'I2 Supuestos'!$C$35)^(7-1)</f>
        <v/>
      </c>
      <c r="I46">
        <f>'I2 Supuestos'!$B$35*(1+'I2 Supuestos'!$C$35)^(8-1)</f>
        <v/>
      </c>
      <c r="J46">
        <f>'I2 Supuestos'!$B$35*(1+'I2 Supuestos'!$C$35)^(9-1)</f>
        <v/>
      </c>
      <c r="K46">
        <f>'I2 Supuestos'!$B$35*(1+'I2 Supuestos'!$C$35)^(10-1)</f>
        <v/>
      </c>
      <c r="L46">
        <f>'I2 Supuestos'!$B$35*(1+'I2 Supuestos'!$C$35)^(11-1)</f>
        <v/>
      </c>
      <c r="M46">
        <f>'I2 Supuestos'!$B$35*(1+'I2 Supuestos'!$C$35)^(12-1)</f>
        <v/>
      </c>
      <c r="N46">
        <f>SUM(B46:M46)</f>
        <v/>
      </c>
    </row>
    <row r="47">
      <c r="A47" t="inlineStr">
        <is>
          <t>Ingresos netos</t>
        </is>
      </c>
      <c r="B47">
        <f>B46*$B$41</f>
        <v/>
      </c>
      <c r="C47">
        <f>C46*$B$41</f>
        <v/>
      </c>
      <c r="D47">
        <f>D46*$B$41</f>
        <v/>
      </c>
      <c r="E47">
        <f>E46*$B$41</f>
        <v/>
      </c>
      <c r="F47">
        <f>F46*$B$41</f>
        <v/>
      </c>
      <c r="G47">
        <f>G46*$B$41</f>
        <v/>
      </c>
      <c r="H47">
        <f>H46*$B$41</f>
        <v/>
      </c>
      <c r="I47">
        <f>I46*$B$41</f>
        <v/>
      </c>
      <c r="J47">
        <f>J46*$B$41</f>
        <v/>
      </c>
      <c r="K47">
        <f>K46*$B$41</f>
        <v/>
      </c>
      <c r="L47">
        <f>L46*$B$41</f>
        <v/>
      </c>
      <c r="M47">
        <f>M46*$B$41</f>
        <v/>
      </c>
      <c r="N47">
        <f>SUM(B47:M47)</f>
        <v/>
      </c>
    </row>
    <row r="48">
      <c r="A48" t="inlineStr">
        <is>
          <t>Costos variables</t>
        </is>
      </c>
      <c r="B48">
        <f>B46*$B$42</f>
        <v/>
      </c>
      <c r="C48">
        <f>C46*$B$42</f>
        <v/>
      </c>
      <c r="D48">
        <f>D46*$B$42</f>
        <v/>
      </c>
      <c r="E48">
        <f>E46*$B$42</f>
        <v/>
      </c>
      <c r="F48">
        <f>F46*$B$42</f>
        <v/>
      </c>
      <c r="G48">
        <f>G46*$B$42</f>
        <v/>
      </c>
      <c r="H48">
        <f>H46*$B$42</f>
        <v/>
      </c>
      <c r="I48">
        <f>I46*$B$42</f>
        <v/>
      </c>
      <c r="J48">
        <f>J46*$B$42</f>
        <v/>
      </c>
      <c r="K48">
        <f>K46*$B$42</f>
        <v/>
      </c>
      <c r="L48">
        <f>L46*$B$42</f>
        <v/>
      </c>
      <c r="M48">
        <f>M46*$B$42</f>
        <v/>
      </c>
      <c r="N48">
        <f>SUM(B48:M48)</f>
        <v/>
      </c>
    </row>
    <row r="49">
      <c r="A49" t="inlineStr">
        <is>
          <t>Costos fijos</t>
        </is>
      </c>
      <c r="B49">
        <f>$B$43</f>
        <v/>
      </c>
      <c r="C49">
        <f>$B$43</f>
        <v/>
      </c>
      <c r="D49">
        <f>$B$43</f>
        <v/>
      </c>
      <c r="E49">
        <f>$B$43</f>
        <v/>
      </c>
      <c r="F49">
        <f>$B$43</f>
        <v/>
      </c>
      <c r="G49">
        <f>$B$43</f>
        <v/>
      </c>
      <c r="H49">
        <f>$B$43</f>
        <v/>
      </c>
      <c r="I49">
        <f>$B$43</f>
        <v/>
      </c>
      <c r="J49">
        <f>$B$43</f>
        <v/>
      </c>
      <c r="K49">
        <f>$B$43</f>
        <v/>
      </c>
      <c r="L49">
        <f>$B$43</f>
        <v/>
      </c>
      <c r="M49">
        <f>$B$43</f>
        <v/>
      </c>
      <c r="N49">
        <f>SUM(B49:M49)</f>
        <v/>
      </c>
    </row>
    <row r="50">
      <c r="A50" t="inlineStr">
        <is>
          <t>Flujo neto</t>
        </is>
      </c>
      <c r="B50">
        <f>B47-B48-B49</f>
        <v/>
      </c>
      <c r="C50">
        <f>C47-C48-C49</f>
        <v/>
      </c>
      <c r="D50">
        <f>D47-D48-D49</f>
        <v/>
      </c>
      <c r="E50">
        <f>E47-E48-E49</f>
        <v/>
      </c>
      <c r="F50">
        <f>F47-F48-F49</f>
        <v/>
      </c>
      <c r="G50">
        <f>G47-G48-G49</f>
        <v/>
      </c>
      <c r="H50">
        <f>H47-H48-H49</f>
        <v/>
      </c>
      <c r="I50">
        <f>I47-I48-I49</f>
        <v/>
      </c>
      <c r="J50">
        <f>J47-J48-J49</f>
        <v/>
      </c>
      <c r="K50">
        <f>K47-K48-K49</f>
        <v/>
      </c>
      <c r="L50">
        <f>L47-L48-L49</f>
        <v/>
      </c>
      <c r="M50">
        <f>M47-M48-M49</f>
        <v/>
      </c>
      <c r="N50">
        <f>SUM(B50:M50)</f>
        <v/>
      </c>
    </row>
    <row r="51">
      <c r="A51" t="inlineStr">
        <is>
          <t>Acumulado (tras inversión)</t>
        </is>
      </c>
      <c r="B51">
        <f>-$B$44+B50</f>
        <v/>
      </c>
      <c r="C51">
        <f>B51+C50</f>
        <v/>
      </c>
      <c r="D51">
        <f>C51+D50</f>
        <v/>
      </c>
      <c r="E51">
        <f>D51+E50</f>
        <v/>
      </c>
      <c r="F51">
        <f>E51+F50</f>
        <v/>
      </c>
      <c r="G51">
        <f>F51+G50</f>
        <v/>
      </c>
      <c r="H51">
        <f>G51+H50</f>
        <v/>
      </c>
      <c r="I51">
        <f>H51+I50</f>
        <v/>
      </c>
      <c r="J51">
        <f>I51+J50</f>
        <v/>
      </c>
      <c r="K51">
        <f>J51+K50</f>
        <v/>
      </c>
      <c r="L51">
        <f>K51+L50</f>
        <v/>
      </c>
      <c r="M51">
        <f>L51+M50</f>
        <v/>
      </c>
      <c r="N51" s="2">
        <f>M51</f>
        <v/>
      </c>
    </row>
    <row r="52">
      <c r="A52" t="inlineStr">
        <is>
          <t>Mes en que acumulado ≥ 0</t>
        </is>
      </c>
      <c r="B52">
        <f>IF(B51&gt;=0,1,"")</f>
        <v/>
      </c>
      <c r="C52">
        <f>IF(C51&gt;=0,2,"")</f>
        <v/>
      </c>
      <c r="D52">
        <f>IF(D51&gt;=0,3,"")</f>
        <v/>
      </c>
      <c r="E52">
        <f>IF(E51&gt;=0,4,"")</f>
        <v/>
      </c>
      <c r="F52">
        <f>IF(F51&gt;=0,5,"")</f>
        <v/>
      </c>
      <c r="G52">
        <f>IF(G51&gt;=0,6,"")</f>
        <v/>
      </c>
      <c r="H52">
        <f>IF(H51&gt;=0,7,"")</f>
        <v/>
      </c>
      <c r="I52">
        <f>IF(I51&gt;=0,8,"")</f>
        <v/>
      </c>
      <c r="J52">
        <f>IF(J51&gt;=0,9,"")</f>
        <v/>
      </c>
      <c r="K52">
        <f>IF(K51&gt;=0,10,"")</f>
        <v/>
      </c>
      <c r="L52">
        <f>IF(L51&gt;=0,11,"")</f>
        <v/>
      </c>
      <c r="M52">
        <f>IF(M51&gt;=0,12,"")</f>
        <v/>
      </c>
      <c r="N52" s="2">
        <f>IF(COUNT(B52:M52)=0,"no en 12 meses",MIN(B52:M52))</f>
        <v/>
      </c>
    </row>
    <row r="53">
      <c r="A53" t="inlineStr">
        <is>
          <t>Horas/semana</t>
        </is>
      </c>
      <c r="B53">
        <f>'I2 Supuestos'!$B$10+'I2 Supuestos'!$B$11*B46/(4.333333333333333)</f>
        <v/>
      </c>
      <c r="C53">
        <f>'I2 Supuestos'!$B$10+'I2 Supuestos'!$B$11*C46/(4.333333333333333)</f>
        <v/>
      </c>
      <c r="D53">
        <f>'I2 Supuestos'!$B$10+'I2 Supuestos'!$B$11*D46/(4.333333333333333)</f>
        <v/>
      </c>
      <c r="E53">
        <f>'I2 Supuestos'!$B$10+'I2 Supuestos'!$B$11*E46/(4.333333333333333)</f>
        <v/>
      </c>
      <c r="F53">
        <f>'I2 Supuestos'!$B$10+'I2 Supuestos'!$B$11*F46/(4.333333333333333)</f>
        <v/>
      </c>
      <c r="G53">
        <f>'I2 Supuestos'!$B$10+'I2 Supuestos'!$B$11*G46/(4.333333333333333)</f>
        <v/>
      </c>
      <c r="H53">
        <f>'I2 Supuestos'!$B$10+'I2 Supuestos'!$B$11*H46/(4.333333333333333)</f>
        <v/>
      </c>
      <c r="I53">
        <f>'I2 Supuestos'!$B$10+'I2 Supuestos'!$B$11*I46/(4.333333333333333)</f>
        <v/>
      </c>
      <c r="J53">
        <f>'I2 Supuestos'!$B$10+'I2 Supuestos'!$B$11*J46/(4.333333333333333)</f>
        <v/>
      </c>
      <c r="K53">
        <f>'I2 Supuestos'!$B$10+'I2 Supuestos'!$B$11*K46/(4.333333333333333)</f>
        <v/>
      </c>
      <c r="L53">
        <f>'I2 Supuestos'!$B$10+'I2 Supuestos'!$B$11*L46/(4.333333333333333)</f>
        <v/>
      </c>
      <c r="M53">
        <f>'I2 Supuestos'!$B$10+'I2 Supuestos'!$B$11*M46/(4.333333333333333)</f>
        <v/>
      </c>
      <c r="N53" s="2">
        <f>MAX(B53:M53)</f>
        <v/>
      </c>
    </row>
    <row r="54">
      <c r="A54" t="inlineStr">
        <is>
          <t>Capital disponible (inicial + aportes)</t>
        </is>
      </c>
      <c r="B54">
        <f>Globales!$B$2+Globales!$B$3*1</f>
        <v/>
      </c>
      <c r="C54">
        <f>Globales!$B$2+Globales!$B$3*2</f>
        <v/>
      </c>
      <c r="D54">
        <f>Globales!$B$2+Globales!$B$3*3</f>
        <v/>
      </c>
      <c r="E54">
        <f>Globales!$B$2+Globales!$B$3*4</f>
        <v/>
      </c>
      <c r="F54">
        <f>Globales!$B$2+Globales!$B$3*5</f>
        <v/>
      </c>
      <c r="G54">
        <f>Globales!$B$2+Globales!$B$3*6</f>
        <v/>
      </c>
      <c r="H54">
        <f>Globales!$B$2+Globales!$B$3*7</f>
        <v/>
      </c>
      <c r="I54">
        <f>Globales!$B$2+Globales!$B$3*8</f>
        <v/>
      </c>
      <c r="J54">
        <f>Globales!$B$2+Globales!$B$3*9</f>
        <v/>
      </c>
      <c r="K54">
        <f>Globales!$B$2+Globales!$B$3*10</f>
        <v/>
      </c>
      <c r="L54">
        <f>Globales!$B$2+Globales!$B$3*11</f>
        <v/>
      </c>
      <c r="M54">
        <f>Globales!$B$2+Globales!$B$3*12</f>
        <v/>
      </c>
      <c r="N54" s="2">
        <f>IF(SUMPRODUCT(--(-B51:M51&gt;B54:M54))=0,"cabe en el capital","NO cabe")</f>
        <v/>
      </c>
    </row>
    <row r="55">
      <c r="A55" t="inlineStr">
        <is>
          <t>Mes en que flujo neto ≥ 1 sueldo</t>
        </is>
      </c>
      <c r="B55">
        <f>IF(B50&gt;=Globales!$B$9,1,"")</f>
        <v/>
      </c>
      <c r="C55">
        <f>IF(C50&gt;=Globales!$B$9,2,"")</f>
        <v/>
      </c>
      <c r="D55">
        <f>IF(D50&gt;=Globales!$B$9,3,"")</f>
        <v/>
      </c>
      <c r="E55">
        <f>IF(E50&gt;=Globales!$B$9,4,"")</f>
        <v/>
      </c>
      <c r="F55">
        <f>IF(F50&gt;=Globales!$B$9,5,"")</f>
        <v/>
      </c>
      <c r="G55">
        <f>IF(G50&gt;=Globales!$B$9,6,"")</f>
        <v/>
      </c>
      <c r="H55">
        <f>IF(H50&gt;=Globales!$B$9,7,"")</f>
        <v/>
      </c>
      <c r="I55">
        <f>IF(I50&gt;=Globales!$B$9,8,"")</f>
        <v/>
      </c>
      <c r="J55">
        <f>IF(J50&gt;=Globales!$B$9,9,"")</f>
        <v/>
      </c>
      <c r="K55">
        <f>IF(K50&gt;=Globales!$B$9,10,"")</f>
        <v/>
      </c>
      <c r="L55">
        <f>IF(L50&gt;=Globales!$B$9,11,"")</f>
        <v/>
      </c>
      <c r="M55">
        <f>IF(M50&gt;=Globales!$B$9,12,"")</f>
        <v/>
      </c>
      <c r="N55" s="2">
        <f>IF(COUNT(B55:M55)=0,"no en 12 meses",MIN(B55:M55))</f>
        <v/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Sensibilidad — 2. Cliente incógnito + micro-capacitación (ficha 10) — escenario base, ±20 % una variable a la vez</t>
        </is>
      </c>
    </row>
    <row r="2">
      <c r="A2" t="inlineStr">
        <is>
          <t>Resultado 12 m = Σ unidades × margen unitario − 12 × fijos − inversión; Σ unidades = u1·((1+g)^12−1)/g</t>
        </is>
      </c>
    </row>
    <row r="3">
      <c r="A3" t="inlineStr">
        <is>
          <t>Variación</t>
        </is>
      </c>
      <c r="B3" s="5" t="n">
        <v>0.2</v>
      </c>
    </row>
    <row r="4">
      <c r="A4" s="3" t="inlineStr">
        <is>
          <t>Variable</t>
        </is>
      </c>
      <c r="B4" s="3" t="inlineStr">
        <is>
          <t>Valor base</t>
        </is>
      </c>
      <c r="C4" s="3" t="inlineStr">
        <is>
          <t>Resultado base</t>
        </is>
      </c>
      <c r="D4" s="3" t="inlineStr">
        <is>
          <t>Resultado −var</t>
        </is>
      </c>
      <c r="E4" s="3" t="inlineStr">
        <is>
          <t>Resultado +var</t>
        </is>
      </c>
      <c r="F4" s="3" t="inlineStr">
        <is>
          <t>Rango (abs)</t>
        </is>
      </c>
    </row>
    <row r="5">
      <c r="A5" t="inlineStr">
        <is>
          <t>precio</t>
        </is>
      </c>
      <c r="B5">
        <f>'I2 Supuestos'!$B$4</f>
        <v/>
      </c>
      <c r="C5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5">
        <f>IF('I2 Supuestos'!$C$34=0,12*'I2 Supuestos'!$B$34,'I2 Supuestos'!$B$34*((1+'I2 Supuestos'!$C$34)^12-1)/'I2 Supuestos'!$C$34)*(IF('I2 Supuestos'!$B$5=1,(('I2 Supuestos'!$B$4*(1-$B$3))*'I2 Supuestos'!$D$34)/(1+'I2 Supuestos'!$B$6),(('I2 Supuestos'!$B$4*(1-$B$3))*'I2 Supuestos'!$D$34))-('I2 Supuestos'!$B$29+(('I2 Supuestos'!$B$4*(1-$B$3))*'I2 Supuestos'!$D$34)*'I2 Supuestos'!$B$7+'I2 Supuestos'!$B$8+IF('I2 Supuestos'!$B$5=1,(('I2 Supuestos'!$B$4*(1-$B$3))*'I2 Supuestos'!$D$34)/(1+'I2 Supuestos'!$B$6),(('I2 Supuestos'!$B$4*(1-$B$3))*'I2 Supuestos'!$D$34))*'I2 Supuestos'!$B$9))-12*'I2 Supuestos'!$B$23-'I2 Supuestos'!$B$17</f>
        <v/>
      </c>
      <c r="E5">
        <f>IF('I2 Supuestos'!$C$34=0,12*'I2 Supuestos'!$B$34,'I2 Supuestos'!$B$34*((1+'I2 Supuestos'!$C$34)^12-1)/'I2 Supuestos'!$C$34)*(IF('I2 Supuestos'!$B$5=1,(('I2 Supuestos'!$B$4*(1+$B$3))*'I2 Supuestos'!$D$34)/(1+'I2 Supuestos'!$B$6),(('I2 Supuestos'!$B$4*(1+$B$3))*'I2 Supuestos'!$D$34))-('I2 Supuestos'!$B$29+(('I2 Supuestos'!$B$4*(1+$B$3))*'I2 Supuestos'!$D$34)*'I2 Supuestos'!$B$7+'I2 Supuestos'!$B$8+IF('I2 Supuestos'!$B$5=1,(('I2 Supuestos'!$B$4*(1+$B$3))*'I2 Supuestos'!$D$34)/(1+'I2 Supuestos'!$B$6),(('I2 Supuestos'!$B$4*(1+$B$3))*'I2 Supuestos'!$D$34))*'I2 Supuestos'!$B$9))-12*'I2 Supuestos'!$B$23-'I2 Supuestos'!$B$17</f>
        <v/>
      </c>
      <c r="F5">
        <f>ABS(E5-D5)</f>
        <v/>
      </c>
    </row>
    <row r="6">
      <c r="A6" t="inlineStr">
        <is>
          <t>unidades_mes1</t>
        </is>
      </c>
      <c r="B6">
        <f>'I2 Supuestos'!$B$34</f>
        <v/>
      </c>
      <c r="C6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6">
        <f>IF('I2 Supuestos'!$C$34=0,12*('I2 Supuestos'!$B$34*(1-$B$3)),('I2 Supuestos'!$B$34*(1-$B$3))*((1+'I2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E6">
        <f>IF('I2 Supuestos'!$C$34=0,12*('I2 Supuestos'!$B$34*(1+$B$3)),('I2 Supuestos'!$B$34*(1+$B$3))*((1+'I2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F6">
        <f>ABS(E6-D6)</f>
        <v/>
      </c>
    </row>
    <row r="7">
      <c r="A7" t="inlineStr">
        <is>
          <t>crecimiento</t>
        </is>
      </c>
      <c r="B7">
        <f>'I2 Supuestos'!$C$34</f>
        <v/>
      </c>
      <c r="C7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7">
        <f>IF(('I2 Supuestos'!$C$34*(1-$B$3))=0,12*'I2 Supuestos'!$B$34,'I2 Supuestos'!$B$34*((1+('I2 Supuestos'!$C$34*(1-$B$3)))^12-1)/('I2 Supuestos'!$C$34*(1-$B$3)))*(IF('I2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E7">
        <f>IF(('I2 Supuestos'!$C$34*(1+$B$3))=0,12*'I2 Supuestos'!$B$34,'I2 Supuestos'!$B$34*((1+('I2 Supuestos'!$C$34*(1+$B$3)))^12-1)/('I2 Supuestos'!$C$34*(1+$B$3)))*(IF('I2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F7">
        <f>ABS(E7-D7)</f>
        <v/>
      </c>
    </row>
    <row r="8">
      <c r="A8" t="inlineStr">
        <is>
          <t>cv_directo</t>
        </is>
      </c>
      <c r="B8">
        <f>'I2 Supuestos'!$B$29</f>
        <v/>
      </c>
      <c r="C8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8">
        <f>IF('I2 Supuestos'!$C$34=0,12*'I2 Supuestos'!$B$34,'I2 Supuestos'!$B$34*((1+'I2 Supuestos'!$C$34)^12-1)/'I2 Supuestos'!$C$34)*(IF('I2 Supuestos'!$B$5=1,('I2 Supuestos'!$B$4*'I2 Supuestos'!$D$34)/(1+'I2 Supuestos'!$B$6),('I2 Supuestos'!$B$4*'I2 Supuestos'!$D$34))-(('I2 Supuestos'!$B$29*(1-$B$3))+('I2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E8">
        <f>IF('I2 Supuestos'!$C$34=0,12*'I2 Supuestos'!$B$34,'I2 Supuestos'!$B$34*((1+'I2 Supuestos'!$C$34)^12-1)/'I2 Supuestos'!$C$34)*(IF('I2 Supuestos'!$B$5=1,('I2 Supuestos'!$B$4*'I2 Supuestos'!$D$34)/(1+'I2 Supuestos'!$B$6),('I2 Supuestos'!$B$4*'I2 Supuestos'!$D$34))-(('I2 Supuestos'!$B$29*(1+$B$3))+('I2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F8">
        <f>ABS(E8-D8)</f>
        <v/>
      </c>
    </row>
    <row r="9">
      <c r="A9" t="inlineStr">
        <is>
          <t>fijos</t>
        </is>
      </c>
      <c r="B9">
        <f>'I2 Supuestos'!$B$23</f>
        <v/>
      </c>
      <c r="C9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9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Supuestos'!$B$9))-12*('I2 Supuestos'!$B$23*(1-$B$3))-'I2 Supuestos'!$B$17</f>
        <v/>
      </c>
      <c r="E9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Supuestos'!$B$9))-12*('I2 Supuestos'!$B$23*(1+$B$3))-'I2 Supuestos'!$B$17</f>
        <v/>
      </c>
      <c r="F9">
        <f>ABS(E9-D9)</f>
        <v/>
      </c>
    </row>
    <row r="10">
      <c r="A10" t="inlineStr">
        <is>
          <t>inversion</t>
        </is>
      </c>
      <c r="B10">
        <f>'I2 Supuestos'!$B$17</f>
        <v/>
      </c>
      <c r="C10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10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Supuestos'!$B$23-('I2 Supuestos'!$B$17*(1-$B$3))</f>
        <v/>
      </c>
      <c r="E10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Supuestos'!$B$23-('I2 Supuestos'!$B$17*(1+$B$3))</f>
        <v/>
      </c>
      <c r="F10">
        <f>ABS(E10-D10)</f>
        <v/>
      </c>
    </row>
    <row r="11">
      <c r="A11" t="inlineStr">
        <is>
          <t>tasa_pasarela</t>
        </is>
      </c>
      <c r="B11">
        <f>'I2 Supuestos'!$B$7</f>
        <v/>
      </c>
      <c r="C11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11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Supuestos'!$D$34)*('I2 Supuestos'!$B$7*(1-$B$3))+'I2 Supuestos'!$B$8+IF('I2 Supuestos'!$B$5=1,('I2 Supuestos'!$B$4*'I2 Supuestos'!$D$34)/(1+'I2 Supuestos'!$B$6),('I2 Supuestos'!$B$4*'I2 Supuestos'!$D$34))*'I2 Supuestos'!$B$9))-12*'I2 Supuestos'!$B$23-'I2 Supuestos'!$B$17</f>
        <v/>
      </c>
      <c r="E11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Supuestos'!$D$34)*('I2 Supuestos'!$B$7*(1+$B$3))+'I2 Supuestos'!$B$8+IF('I2 Supuestos'!$B$5=1,('I2 Supuestos'!$B$4*'I2 Supuestos'!$D$34)/(1+'I2 Supuestos'!$B$6),('I2 Supuestos'!$B$4*'I2 Supuestos'!$D$34))*'I2 Supuestos'!$B$9))-12*'I2 Supuestos'!$B$23-'I2 Supuestos'!$B$17</f>
        <v/>
      </c>
      <c r="F11">
        <f>ABS(E11-D11)</f>
        <v/>
      </c>
    </row>
    <row r="12">
      <c r="A12" t="inlineStr">
        <is>
          <t>tasa_impuesto_renta</t>
        </is>
      </c>
      <c r="B12">
        <f>'I2 Supuestos'!$B$9</f>
        <v/>
      </c>
      <c r="C12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Supuestos'!$D$34))*'I2 Supuestos'!$B$9))-12*'I2 Supuestos'!$B$23-'I2 Supuestos'!$B$17</f>
        <v/>
      </c>
      <c r="D12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Supuestos'!$D$34))*('I2 Supuestos'!$B$9*(1-$B$3))))-12*'I2 Supuestos'!$B$23-'I2 Supuestos'!$B$17</f>
        <v/>
      </c>
      <c r="E12">
        <f>IF('I2 Supuestos'!$C$34=0,12*'I2 Supuestos'!$B$34,'I2 Supuestos'!$B$34*((1+'I2 Supuestos'!$C$34)^12-1)/'I2 Supuestos'!$C$34)*(IF('I2 Supuestos'!$B$5=1,('I2 Supuestos'!$B$4*'I2 Supuestos'!$D$34)/(1+'I2 Supuestos'!$B$6),('I2 Supuestos'!$B$4*'I2 Supuestos'!$D$34))-('I2 Supuestos'!$B$29+('I2 Supuestos'!$B$4*'I2 Supuestos'!$D$34)*'I2 Supuestos'!$B$7+'I2 Supuestos'!$B$8+IF('I2 Supuestos'!$B$5=1,('I2 Supuestos'!$B$4*'I2 Supuestos'!$D$34)/(1+'I2 Supuestos'!$B$6),('I2 Supuestos'!$B$4*'I2 Supuestos'!$D$34))*('I2 Supuestos'!$B$9*(1+$B$3))))-12*'I2 Supuestos'!$B$23-'I2 Supuestos'!$B$17</f>
        <v/>
      </c>
      <c r="F12">
        <f>ABS(E12-D12)</f>
        <v/>
      </c>
    </row>
    <row r="14">
      <c r="A14" t="inlineStr">
        <is>
          <t>La variable con mayor 'Rango' es la que más mueve el resultado.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6" customWidth="1" min="3" max="3"/>
    <col width="40" customWidth="1" min="4" max="4"/>
    <col width="14" customWidth="1" min="5" max="5"/>
  </cols>
  <sheetData>
    <row r="1">
      <c r="A1" s="2" t="inlineStr">
        <is>
          <t>Idea: 3. Taller 'construye tu app con IA' (ficha 13)</t>
        </is>
      </c>
    </row>
    <row r="2">
      <c r="A2" t="inlineStr">
        <is>
          <t>Unidad: un asiento en un taller en vivo de 2–3 h</t>
        </is>
      </c>
    </row>
    <row r="3">
      <c r="A3" s="2" t="inlineStr">
        <is>
          <t>Concepto</t>
        </is>
      </c>
      <c r="B3" t="inlineStr">
        <is>
          <t>Valor</t>
        </is>
      </c>
      <c r="C3" t="inlineStr">
        <is>
          <t>Origen</t>
        </is>
      </c>
      <c r="D3" t="inlineStr">
        <is>
          <t>Nota</t>
        </is>
      </c>
    </row>
    <row r="4">
      <c r="A4" t="inlineStr">
        <is>
          <t>Precio de venta al cliente (S/)</t>
        </is>
      </c>
      <c r="B4" s="5" t="n">
        <v>40</v>
      </c>
      <c r="C4" t="inlineStr">
        <is>
          <t>SUPUESTO: por validar — rango S/ 30–50 de la ficha 13 (S-15); precio de Coderhouse Perú DESCONOCIDO; con IGV incluido</t>
        </is>
      </c>
      <c r="D4" t="inlineStr"/>
    </row>
    <row r="5">
      <c r="A5" t="inlineStr">
        <is>
          <t>¿Precio incluye IGV? (1 = sí, 0 = no)</t>
        </is>
      </c>
      <c r="B5" s="5" t="n">
        <v>1</v>
      </c>
      <c r="C5" t="inlineStr">
        <is>
          <t>regla</t>
        </is>
      </c>
      <c r="D5" t="inlineStr"/>
    </row>
    <row r="6">
      <c r="A6" t="inlineStr">
        <is>
          <t>Tasa IGV</t>
        </is>
      </c>
      <c r="B6" s="5" t="n">
        <v>0.18</v>
      </c>
      <c r="C6" t="inlineStr">
        <is>
          <t>VERIFICADO: TUO Ley del IGV (16 %) + IPM (2 %) = 18 %, vigente; sin informe legal aún — confirmar con asesor-legal-tributario-peru</t>
        </is>
      </c>
      <c r="D6" t="inlineStr">
        <is>
          <t>precio al cliente con IGV incluido</t>
        </is>
      </c>
    </row>
    <row r="7">
      <c r="A7" t="inlineStr">
        <is>
          <t>Comisión pasarela (%)</t>
        </is>
      </c>
      <c r="B7" s="5" t="n">
        <v>0</v>
      </c>
      <c r="C7" t="inlineStr">
        <is>
          <t>SUPUESTO: por validar — cobro por Yape/Plin o transferencia entre personas naturales, sin comisión; la variante con Culqi (3,44 % + US$ 0,20) se calcula aparte</t>
        </is>
      </c>
      <c r="D7" t="inlineStr"/>
    </row>
    <row r="8">
      <c r="A8" t="inlineStr">
        <is>
          <t>Comisión pasarela fija por transacción (S/)</t>
        </is>
      </c>
      <c r="B8" s="5" t="n">
        <v>0</v>
      </c>
      <c r="C8" t="inlineStr">
        <is>
          <t>SUPUESTO: por validar — igual que tasa_pasarela</t>
        </is>
      </c>
      <c r="D8" t="inlineStr"/>
    </row>
    <row r="9">
      <c r="A9" t="inlineStr">
        <is>
          <t>Impuesto a la renta (% sobre ingreso neto)</t>
        </is>
      </c>
      <c r="B9" s="5" t="n">
        <v>0.015</v>
      </c>
      <c r="C9" t="inlineStr">
        <is>
          <t>SUPUESTO: por validar — RER (1,5 % de ingresos netos mensuales) como régimen uniforme y conservador para las cinco ideas; permite emitir factura a negocios. Variantes Nuevo RUS y 4.ª categoría se calculan aparte. Lo define el asesor legal en la Etapa 2</t>
        </is>
      </c>
      <c r="D9" t="inlineStr"/>
    </row>
    <row r="10">
      <c r="A10" t="inlineStr">
        <is>
          <t>Horas fijas por semana</t>
        </is>
      </c>
      <c r="B10" s="5" t="n">
        <v>8</v>
      </c>
      <c r="C10" t="inlineStr">
        <is>
          <t>ESTIMADO: ficha 13: 3–4 videos cortos/semana 6–8 h (Carlos) + inscripciones y cobros 1–2 h (Indira)</t>
        </is>
      </c>
      <c r="D10" t="inlineStr"/>
    </row>
    <row r="11">
      <c r="A11" t="inlineStr">
        <is>
          <t>Horas por unidad vendida</t>
        </is>
      </c>
      <c r="B11" s="5" t="n">
        <v>0.5833333333333334</v>
      </c>
      <c r="C11" t="inlineStr">
        <is>
          <t>ESTIMADO: taller de 3 h + 4 h de preparación por cohorte de ~12 asientos = 7 h ÷ 12</t>
        </is>
      </c>
      <c r="D11" t="inlineStr"/>
    </row>
    <row r="13">
      <c r="A13" s="2" t="inlineStr">
        <is>
          <t>Inversión inicial (S/)</t>
        </is>
      </c>
    </row>
    <row r="14">
      <c r="A14" t="inlineStr">
        <is>
          <t>micrófono USB o de solapa</t>
        </is>
      </c>
      <c r="B14" s="5" t="n">
        <v>60</v>
      </c>
      <c r="C14" t="inlineStr">
        <is>
          <t>ESTIMADO: ficha 13</t>
        </is>
      </c>
      <c r="D14" t="inlineStr"/>
    </row>
    <row r="15">
      <c r="A15" t="inlineStr">
        <is>
          <t>aro de luz / iluminación básica</t>
        </is>
      </c>
      <c r="B15" s="5" t="n">
        <v>40</v>
      </c>
      <c r="C15" t="inlineStr">
        <is>
          <t>ESTIMADO: ficha 13 fija el tope en S/ 100 en total</t>
        </is>
      </c>
      <c r="D15" t="inlineStr"/>
    </row>
    <row r="16">
      <c r="A16" s="2" t="inlineStr">
        <is>
          <t>TOTAL inversión inicial (s/)</t>
        </is>
      </c>
      <c r="B16">
        <f>SUM(B14:B15)</f>
        <v/>
      </c>
      <c r="C16" t="inlineStr">
        <is>
          <t>fórmula</t>
        </is>
      </c>
      <c r="D16" t="inlineStr"/>
    </row>
    <row r="18">
      <c r="A18" s="2" t="inlineStr">
        <is>
          <t>Costos fijos mensuales (S/)</t>
        </is>
      </c>
    </row>
    <row r="19">
      <c r="A19" t="inlineStr">
        <is>
          <t>Zoom Pro (talleres de 2–3 h; Meet gratuito corta a 60 min)</t>
        </is>
      </c>
      <c r="B19" s="5" t="n">
        <v>55.0056</v>
      </c>
      <c r="C19" t="inlineStr">
        <is>
          <t>ESTIMADO: US$ 15,99/mes × TC 3,44</t>
        </is>
      </c>
      <c r="D19" t="inlineStr"/>
    </row>
    <row r="20">
      <c r="A20" t="inlineStr">
        <is>
          <t>plan de herramienta de IA para demostraciones</t>
        </is>
      </c>
      <c r="B20" s="5" t="n">
        <v>68.8</v>
      </c>
      <c r="C20" t="inlineStr">
        <is>
          <t>ESTIMADO: US$ 20/mes × TC 3,44; la ficha 13 dice que Carlos ya lo paga; se incluye igual como costo del negocio</t>
        </is>
      </c>
      <c r="D20" t="inlineStr"/>
    </row>
    <row r="21">
      <c r="A21" t="inlineStr">
        <is>
          <t>edición de video (CapCut gratuito)</t>
        </is>
      </c>
      <c r="B21" s="5" t="n">
        <v>0</v>
      </c>
      <c r="C21" t="inlineStr">
        <is>
          <t>ESTIMADO: plan gratuito</t>
        </is>
      </c>
      <c r="D21" t="inlineStr"/>
    </row>
    <row r="22">
      <c r="A22" t="inlineStr">
        <is>
          <t>contabilidad / declaraciones</t>
        </is>
      </c>
      <c r="B22" s="5" t="n">
        <v>0</v>
      </c>
      <c r="C22" t="inlineStr">
        <is>
          <t>SUPUESTO: por validar — declaran ellos mismos en SUNAT Virtual; un contador costaría S/ 50–150/mes</t>
        </is>
      </c>
      <c r="D22" t="inlineStr"/>
    </row>
    <row r="23">
      <c r="A23" s="2" t="inlineStr">
        <is>
          <t>TOTAL costos fijos mensuales (s/)</t>
        </is>
      </c>
      <c r="B23">
        <f>SUM(B19:B22)</f>
        <v/>
      </c>
      <c r="C23" t="inlineStr">
        <is>
          <t>fórmula</t>
        </is>
      </c>
      <c r="D23" t="inlineStr"/>
    </row>
    <row r="25">
      <c r="A25" s="2" t="inlineStr">
        <is>
          <t>Costo variable directo por unidad (S/)</t>
        </is>
      </c>
    </row>
    <row r="26">
      <c r="A26" t="inlineStr">
        <is>
          <t>créditos de IA usados por el asistente durante el taller</t>
        </is>
      </c>
      <c r="B26" s="5" t="n">
        <v>3</v>
      </c>
      <c r="C26" t="inlineStr">
        <is>
          <t>ESTIMADO: ~3 h de uso de un modelo económico por persona; sin medición</t>
        </is>
      </c>
      <c r="D26" t="inlineStr"/>
    </row>
    <row r="27">
      <c r="A27" t="inlineStr">
        <is>
          <t>certificado y material digital (PDF)</t>
        </is>
      </c>
      <c r="B27" s="5" t="n">
        <v>0</v>
      </c>
      <c r="C27" t="inlineStr">
        <is>
          <t>ESTIMADO: sin costo</t>
        </is>
      </c>
      <c r="D27" t="inlineStr"/>
    </row>
    <row r="28">
      <c r="A28" s="2" t="inlineStr">
        <is>
          <t>TOTAL costo variable directo por unidad (s/)</t>
        </is>
      </c>
      <c r="B28">
        <f>SUM(B26:B27)</f>
        <v/>
      </c>
      <c r="C28" t="inlineStr">
        <is>
          <t>fórmula</t>
        </is>
      </c>
      <c r="D28" t="inlineStr"/>
    </row>
    <row r="30">
      <c r="A30" s="2" t="inlineStr">
        <is>
          <t>Escenarios</t>
        </is>
      </c>
    </row>
    <row r="31">
      <c r="A31" t="inlineStr">
        <is>
          <t>Escenario</t>
        </is>
      </c>
      <c r="B31" t="inlineStr">
        <is>
          <t>Unidades mes 1</t>
        </is>
      </c>
      <c r="C31" t="inlineStr">
        <is>
          <t>Crecimiento mensual</t>
        </is>
      </c>
      <c r="D31" t="inlineStr">
        <is>
          <t>Factor precio</t>
        </is>
      </c>
      <c r="E31" t="inlineStr">
        <is>
          <t>Origen</t>
        </is>
      </c>
    </row>
    <row r="32">
      <c r="A32" t="inlineStr">
        <is>
          <t>pesimista</t>
        </is>
      </c>
      <c r="B32" s="5" t="n">
        <v>4</v>
      </c>
      <c r="C32" s="5" t="n">
        <v>-0.15</v>
      </c>
      <c r="D32" s="5" t="n">
        <v>0.75</v>
      </c>
      <c r="E32" t="inlineStr">
        <is>
          <t>SUPUESTO: por validar — 4 compañeros de la UPN con 25 % de descuento en el mes 1 y 15 % menos cada mes: sin audiencia no entra gente nueva</t>
        </is>
      </c>
    </row>
    <row r="33">
      <c r="A33" t="inlineStr">
        <is>
          <t>base</t>
        </is>
      </c>
      <c r="B33" s="5" t="n">
        <v>10</v>
      </c>
      <c r="C33" s="5" t="n">
        <v>0.1</v>
      </c>
      <c r="D33" s="5" t="n">
        <v>1</v>
      </c>
      <c r="E33" t="inlineStr">
        <is>
          <t>SUPUESTO: por validar — cohorte de 10 en el mes 1 (S-15: ≥ 8 interesados) y +10 %/mes por el contenido en TikTok/YouTube, sin pauta pagada</t>
        </is>
      </c>
    </row>
    <row r="34">
      <c r="A34" t="inlineStr">
        <is>
          <t>optimista</t>
        </is>
      </c>
      <c r="B34" s="5" t="n">
        <v>15</v>
      </c>
      <c r="C34" s="5" t="n">
        <v>0.2</v>
      </c>
      <c r="D34" s="5" t="n">
        <v>1</v>
      </c>
      <c r="E34" t="inlineStr">
        <is>
          <t>SUPUESTO: por validar — 15 asientos en el mes 1 y +20 %/mes si algún video gana tracción</t>
        </is>
      </c>
    </row>
    <row r="36">
      <c r="A36" t="inlineStr">
        <is>
          <t>Horas/semana requeridas (pico: mes 12 del escenario base)</t>
        </is>
      </c>
      <c r="B36">
        <f>'I3 Supuestos'!$B$10+'I3 Supuestos'!$B$11*'I3 Supuestos'!$B$33*(1+'I3 Supuestos'!$C$33)^(12-1)/(4.333333333333333)</f>
        <v/>
      </c>
      <c r="C36" t="inlineStr">
        <is>
          <t>ESTIMADO: horas fijas/semana + horas por unidad × unidades del mes 12 del escenario base ÷ 4,33 semanas/mes (pico del año 1)</t>
        </is>
      </c>
      <c r="D36" t="inlineStr"/>
    </row>
    <row r="37">
      <c r="A37" t="inlineStr">
        <is>
          <t>Rango del precio por validar (mín – máx)</t>
        </is>
      </c>
      <c r="B37" s="5" t="n">
        <v>30</v>
      </c>
      <c r="C37" s="5" t="n">
        <v>50</v>
      </c>
      <c r="D37" t="inlineStr">
        <is>
          <t>ver hoja Unitario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0" customWidth="1" min="3" max="3"/>
  </cols>
  <sheetData>
    <row r="1">
      <c r="A1" s="2" t="inlineStr">
        <is>
          <t>Economía unitaria — 3. Taller 'construye tu app con IA' (ficha 13) (precio de lista)</t>
        </is>
      </c>
    </row>
    <row r="2">
      <c r="A2" t="inlineStr">
        <is>
          <t>Concepto</t>
        </is>
      </c>
      <c r="B2" t="inlineStr">
        <is>
          <t>S/</t>
        </is>
      </c>
      <c r="C2" t="inlineStr">
        <is>
          <t>Fórmula</t>
        </is>
      </c>
    </row>
    <row r="3">
      <c r="A3" t="inlineStr">
        <is>
          <t>Precio al cliente</t>
        </is>
      </c>
      <c r="B3">
        <f>'I3 Supuestos'!$B$4</f>
        <v/>
      </c>
      <c r="C3" t="inlineStr">
        <is>
          <t>'='I3 Supuestos'!$B$4</t>
        </is>
      </c>
    </row>
    <row r="4">
      <c r="A4" t="inlineStr">
        <is>
          <t>Ingreso neto (sin IGV)</t>
        </is>
      </c>
      <c r="B4">
        <f>IF('I3 Supuestos'!$B$5=1,'I3 Unitario'!$B$3/(1+'I3 Supuestos'!$B$6),'I3 Unitario'!$B$3)</f>
        <v/>
      </c>
      <c r="C4" t="inlineStr">
        <is>
          <t>'=IF('I3 Supuestos'!$B$5=1,'I3 Unitario'!$B$3/(1+'I3 Supuestos'!$B$6),'I3 Unitario'!$B$3)</t>
        </is>
      </c>
    </row>
    <row r="5">
      <c r="A5" t="inlineStr">
        <is>
          <t>Comisión pasarela</t>
        </is>
      </c>
      <c r="B5">
        <f>'I3 Unitario'!$B$3*'I3 Supuestos'!$B$7+'I3 Supuestos'!$B$8</f>
        <v/>
      </c>
      <c r="C5" t="inlineStr">
        <is>
          <t>'='I3 Unitario'!$B$3*'I3 Supuestos'!$B$7+'I3 Supuestos'!$B$8</t>
        </is>
      </c>
    </row>
    <row r="6">
      <c r="A6" t="inlineStr">
        <is>
          <t>Impuesto a la renta</t>
        </is>
      </c>
      <c r="B6">
        <f>'I3 Unitario'!$B$4*'I3 Supuestos'!$B$9</f>
        <v/>
      </c>
      <c r="C6" t="inlineStr">
        <is>
          <t>'='I3 Unitario'!$B$4*'I3 Supuestos'!$B$9</t>
        </is>
      </c>
    </row>
    <row r="7">
      <c r="A7" t="inlineStr">
        <is>
          <t>Costo variable directo</t>
        </is>
      </c>
      <c r="B7">
        <f>'I3 Supuestos'!$B$28</f>
        <v/>
      </c>
      <c r="C7" t="inlineStr">
        <is>
          <t>'='I3 Supuestos'!$B$28</t>
        </is>
      </c>
    </row>
    <row r="8">
      <c r="A8" t="inlineStr">
        <is>
          <t>Costo variable total</t>
        </is>
      </c>
      <c r="B8">
        <f>'I3 Unitario'!$B$7+'I3 Unitario'!$B$5+'I3 Unitario'!$B$6</f>
        <v/>
      </c>
      <c r="C8" t="inlineStr">
        <is>
          <t>'='I3 Unitario'!$B$7+'I3 Unitario'!$B$5+'I3 Unitario'!$B$6</t>
        </is>
      </c>
    </row>
    <row r="9">
      <c r="A9" t="inlineStr">
        <is>
          <t>Margen por unidad</t>
        </is>
      </c>
      <c r="B9">
        <f>'I3 Unitario'!$B$4-'I3 Unitario'!$B$8</f>
        <v/>
      </c>
      <c r="C9" t="inlineStr">
        <is>
          <t>'='I3 Unitario'!$B$4-'I3 Unitario'!$B$8</t>
        </is>
      </c>
    </row>
    <row r="10">
      <c r="A10" t="inlineStr">
        <is>
          <t>Margen % sobre ingreso neto</t>
        </is>
      </c>
      <c r="B10">
        <f>IF('I3 Unitario'!$B$4=0,0,'I3 Unitario'!$B$9/'I3 Unitario'!$B$4)</f>
        <v/>
      </c>
      <c r="C10" t="inlineStr">
        <is>
          <t>'=IF('I3 Unitario'!$B$4=0,0,'I3 Unitario'!$B$9/'I3 Unitario'!$B$4)</t>
        </is>
      </c>
    </row>
    <row r="11">
      <c r="A11" t="inlineStr">
        <is>
          <t>Costos fijos mensuales</t>
        </is>
      </c>
      <c r="B11">
        <f>'I3 Supuestos'!$B$23</f>
        <v/>
      </c>
      <c r="C11" t="inlineStr">
        <is>
          <t>'='I3 Supuestos'!$B$23</t>
        </is>
      </c>
    </row>
    <row r="12">
      <c r="A12" t="inlineStr">
        <is>
          <t>Punto de equilibrio (unidades/mes)</t>
        </is>
      </c>
      <c r="B12">
        <f>IF('I3 Unitario'!$B$9&gt;0,'I3 Unitario'!$B$11/'I3 Unitario'!$B$9,"no alcanzable")</f>
        <v/>
      </c>
      <c r="C12" t="inlineStr">
        <is>
          <t>'=IF('I3 Unitario'!$B$9&gt;0,'I3 Unitario'!$B$11/'I3 Unitario'!$B$9,"no alcanzable")</t>
        </is>
      </c>
    </row>
    <row r="13">
      <c r="A13" t="inlineStr">
        <is>
          <t>Punto de equilibrio (S/ ventas/mes)</t>
        </is>
      </c>
      <c r="B13">
        <f>IF(ISNUMBER('I3 Unitario'!$B$12),'I3 Unitario'!$B$12*'I3 Unitario'!$B$3,"no alcanzable")</f>
        <v/>
      </c>
      <c r="C13" t="inlineStr">
        <is>
          <t>'=IF(ISNUMBER('I3 Unitario'!$B$12),'I3 Unitario'!$B$12*'I3 Unitario'!$B$3,"no alcanzable")</t>
        </is>
      </c>
    </row>
    <row r="14">
      <c r="A14" t="inlineStr">
        <is>
          <t>Inversión inicial</t>
        </is>
      </c>
      <c r="B14">
        <f>'I3 Supuestos'!$B$16</f>
        <v/>
      </c>
      <c r="C14" t="inlineStr">
        <is>
          <t>'='I3 Supuestos'!$B$16</t>
        </is>
      </c>
    </row>
    <row r="15">
      <c r="A15" t="inlineStr">
        <is>
          <t>F1: inversión ≤ tope</t>
        </is>
      </c>
      <c r="B15">
        <f>IF('I3 Unitario'!$B$14&lt;=Globales!$B$4,"sí","NO")</f>
        <v/>
      </c>
      <c r="C15" t="inlineStr">
        <is>
          <t>'=IF('I3 Unitario'!$B$14&lt;=Globales!$B$4,"sí","NO")</t>
        </is>
      </c>
    </row>
    <row r="16">
      <c r="A16" t="inlineStr">
        <is>
          <t>F1: fijos ≤ tope mensual</t>
        </is>
      </c>
      <c r="B16">
        <f>IF('I3 Unitario'!$B$11&lt;=Globales!$B$5,"sí","NO")</f>
        <v/>
      </c>
      <c r="C16" t="inlineStr">
        <is>
          <t>'=IF('I3 Unitario'!$B$11&lt;=Globales!$B$5,"sí","NO")</t>
        </is>
      </c>
    </row>
    <row r="17">
      <c r="A17" t="inlineStr">
        <is>
          <t>Unidades/mes para cubrir 1 sueldo</t>
        </is>
      </c>
      <c r="B17">
        <f>IF('I3 Unitario'!$B$9&gt;0,('I3 Unitario'!$B$11+Globales!$B$9)/'I3 Unitario'!$B$9,"no alcanzable")</f>
        <v/>
      </c>
      <c r="C17" t="inlineStr">
        <is>
          <t>'=IF('I3 Unitario'!$B$9&gt;0,('I3 Unitario'!$B$11+Globales!$B$9)/'I3 Unitario'!$B$9,"no alcanzable")</t>
        </is>
      </c>
    </row>
    <row r="18">
      <c r="A18" t="inlineStr">
        <is>
          <t>Horas/semana para cubrir 1 sueldo</t>
        </is>
      </c>
      <c r="B18">
        <f>IF(ISNUMBER('I3 Unitario'!$B$17),'I3 Supuestos'!$B$10+'I3 Supuestos'!$B$11*'I3 Unitario'!$B$17/(4.333333333333333),"n/a")</f>
        <v/>
      </c>
      <c r="C18" t="inlineStr">
        <is>
          <t>'=IF(ISNUMBER('I3 Unitario'!$B$17),'I3 Supuestos'!$B$10+'I3 Supuestos'!$B$11*'I3 Unitario'!$B$17/(4.333333333333333),"n/a")</t>
        </is>
      </c>
    </row>
    <row r="19">
      <c r="A19" t="inlineStr">
        <is>
          <t>Unidades/mes para cubrir 2 sueldos</t>
        </is>
      </c>
      <c r="B19">
        <f>IF('I3 Unitario'!$B$9&gt;0,('I3 Unitario'!$B$11+2*Globales!$B$9)/'I3 Unitario'!$B$9,"no alcanzable")</f>
        <v/>
      </c>
      <c r="C19" t="inlineStr">
        <is>
          <t>'=IF('I3 Unitario'!$B$9&gt;0,('I3 Unitario'!$B$11+2*Globales!$B$9)/'I3 Unitario'!$B$9,"no alcanzable")</t>
        </is>
      </c>
    </row>
    <row r="20">
      <c r="A20" t="inlineStr">
        <is>
          <t>Horas/semana para cubrir 2 sueldos</t>
        </is>
      </c>
      <c r="B20">
        <f>IF(ISNUMBER('I3 Unitario'!$B$19),'I3 Supuestos'!$B$10+'I3 Supuestos'!$B$11*'I3 Unitario'!$B$19/(4.333333333333333),"n/a")</f>
        <v/>
      </c>
      <c r="C20" t="inlineStr">
        <is>
          <t>'=IF(ISNUMBER('I3 Unitario'!$B$19),'I3 Supuestos'!$B$10+'I3 Supuestos'!$B$11*'I3 Unitario'!$B$19/(4.333333333333333),"n/a")</t>
        </is>
      </c>
    </row>
    <row r="21"/>
    <row r="22">
      <c r="A22" s="2" t="inlineStr">
        <is>
          <t>Variantes (mismo precio de lista)</t>
        </is>
      </c>
      <c r="B22" t="inlineStr">
        <is>
          <t>Margen/u</t>
        </is>
      </c>
    </row>
    <row r="23">
      <c r="A23" t="inlineStr">
        <is>
          <t>Nuevo RUS cat. 1: sin IGV, sin renta %, +cuota como fijo → margen</t>
        </is>
      </c>
      <c r="B23">
        <f>'I3 Unitario'!$B$3-('I3 Unitario'!$B$7+'I3 Unitario'!$B$5)</f>
        <v/>
      </c>
      <c r="C23" t="inlineStr">
        <is>
          <t>'='I3 Unitario'!$B$3-('I3 Unitario'!$B$7+'I3 Unitario'!$B$5)</t>
        </is>
      </c>
    </row>
    <row r="24">
      <c r="A24" t="inlineStr">
        <is>
          <t>Nuevo RUS: punto de equilibrio (u/mes)</t>
        </is>
      </c>
      <c r="B24">
        <f>IF('I3 Unitario'!$B$23&gt;0,('I3 Unitario'!$B$11+Globales!$B$10)/'I3 Unitario'!$B$23,"no alcanzable")</f>
        <v/>
      </c>
      <c r="C24" t="inlineStr">
        <is>
          <t>'=IF('I3 Unitario'!$B$23&gt;0,('I3 Unitario'!$B$11+Globales!$B$10)/'I3 Unitario'!$B$23,"no alcanzable")</t>
        </is>
      </c>
    </row>
    <row r="25">
      <c r="A25" t="inlineStr">
        <is>
          <t>4.ª categoría: sin IGV, retención 8 % → margen</t>
        </is>
      </c>
      <c r="B25">
        <f>'I3 Unitario'!$B$3-('I3 Unitario'!$B$7+'I3 Unitario'!$B$5+'I3 Unitario'!$B$3*Globales!$B$11)</f>
        <v/>
      </c>
      <c r="C25" t="inlineStr">
        <is>
          <t>'='I3 Unitario'!$B$3-('I3 Unitario'!$B$7+'I3 Unitario'!$B$5+'I3 Unitario'!$B$3*Globales!$B$11)</t>
        </is>
      </c>
    </row>
    <row r="26">
      <c r="A26" t="inlineStr">
        <is>
          <t>RER + pasarela Culqi → margen</t>
        </is>
      </c>
      <c r="B26">
        <f>'I3 Unitario'!$B$4-('I3 Unitario'!$B$7+'I3 Unitario'!$B$3*Globales!$B$12+Globales!$B$13+'I3 Unitario'!$B$6)</f>
        <v/>
      </c>
      <c r="C26" t="inlineStr">
        <is>
          <t>'='I3 Unitario'!$B$4-('I3 Unitario'!$B$7+'I3 Unitario'!$B$3*Globales!$B$12+Globales!$B$13+'I3 Unitario'!$B$6)</t>
        </is>
      </c>
    </row>
    <row r="27">
      <c r="A27" t="inlineStr">
        <is>
          <t>Margen/u con precio mínimo del rango</t>
        </is>
      </c>
      <c r="B27">
        <f>IF('I3 Supuestos'!$B$5=1,'I3 Supuestos'!$B$37/(1+'I3 Supuestos'!$B$6),'I3 Supuestos'!$B$37)-('I3 Unitario'!$B$7+'I3 Supuestos'!$B$37*'I3 Supuestos'!$B$7+'I3 Supuestos'!$B$8+IF('I3 Supuestos'!$B$5=1,'I3 Supuestos'!$B$37/(1+'I3 Supuestos'!$B$6),'I3 Supuestos'!$B$37)*'I3 Supuestos'!$B$9)</f>
        <v/>
      </c>
      <c r="C27" t="inlineStr">
        <is>
          <t>'=IF('I3 Supuestos'!$B$5=1,'I3 Supuestos'!$B$37/(1+'I3 Supuestos'!$B$6),'I3 Supuestos'!$B$37)-('I3 Unitario'!$B$7+'I3 Supuestos'!$B$37*'I3 Supuestos'!$B$7+'I3 Supuestos'!$B$8+IF('I3 Supuestos'!$B$5=1,'I3 Supuestos'!$B$37/(1+'I3 Supuestos'!$B$6),'I3 Supuestos'!$B$37)*'I3 Supuestos'!$B$9)</t>
        </is>
      </c>
    </row>
    <row r="28">
      <c r="A28" t="inlineStr">
        <is>
          <t>Margen/u con precio máximo del rango</t>
        </is>
      </c>
      <c r="B28">
        <f>IF('I3 Supuestos'!$B$5=1,'I3 Supuestos'!$C$37/(1+'I3 Supuestos'!$B$6),'I3 Supuestos'!$C$37)-('I3 Unitario'!$B$7+'I3 Supuestos'!$C$37*'I3 Supuestos'!$B$7+'I3 Supuestos'!$B$8+IF('I3 Supuestos'!$B$5=1,'I3 Supuestos'!$C$37/(1+'I3 Supuestos'!$B$6),'I3 Supuestos'!$C$37)*'I3 Supuestos'!$B$9)</f>
        <v/>
      </c>
      <c r="C28" t="inlineStr">
        <is>
          <t>'=IF('I3 Supuestos'!$B$5=1,'I3 Supuestos'!$C$37/(1+'I3 Supuestos'!$B$6),'I3 Supuestos'!$C$37)-('I3 Unitario'!$B$7+'I3 Supuestos'!$C$37*'I3 Supuestos'!$B$7+'I3 Supuestos'!$B$8+IF('I3 Supuestos'!$B$5=1,'I3 Supuestos'!$C$37/(1+'I3 Supuestos'!$B$6),'I3 Supuestos'!$C$37)*'I3 Supuestos'!$B$9)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Flujo de caja a 12 meses — 3. Taller 'construye tu app con IA' (ficha 13). Escenarios, no predicciones.</t>
        </is>
      </c>
    </row>
    <row r="3">
      <c r="A3" s="2" t="inlineStr">
        <is>
          <t>Escenario pesimista</t>
        </is>
      </c>
    </row>
    <row r="4">
      <c r="A4" t="inlineStr">
        <is>
          <t>Precio escenario</t>
        </is>
      </c>
      <c r="B4">
        <f>'I3 Supuestos'!$B$4*'I3 Supuestos'!$D$32</f>
        <v/>
      </c>
    </row>
    <row r="5">
      <c r="A5" t="inlineStr">
        <is>
          <t>Ingreso neto unitario</t>
        </is>
      </c>
      <c r="B5">
        <f>IF('I3 Supuestos'!$B$5=1,B4/(1+'I3 Supuestos'!$B$6),B4)</f>
        <v/>
      </c>
    </row>
    <row r="6">
      <c r="A6" t="inlineStr">
        <is>
          <t>Costo variable total unitario</t>
        </is>
      </c>
      <c r="B6">
        <f>'I3 Supuestos'!$B$28+B4*'I3 Supuestos'!$B$7+'I3 Supuestos'!$B$8+B5*'I3 Supuestos'!$B$9</f>
        <v/>
      </c>
    </row>
    <row r="7">
      <c r="A7" t="inlineStr">
        <is>
          <t>Costos fijos mensuales</t>
        </is>
      </c>
      <c r="B7">
        <f>'I3 Supuestos'!$B$23</f>
        <v/>
      </c>
    </row>
    <row r="8">
      <c r="A8" t="inlineStr">
        <is>
          <t>Inversión inicial</t>
        </is>
      </c>
      <c r="B8">
        <f>'I3 Supuestos'!$B$16</f>
        <v/>
      </c>
    </row>
    <row r="9">
      <c r="A9" s="3" t="inlineStr">
        <is>
          <t>Mes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  <c r="I9" s="3" t="n">
        <v>8</v>
      </c>
      <c r="J9" s="3" t="n">
        <v>9</v>
      </c>
      <c r="K9" s="3" t="n">
        <v>10</v>
      </c>
      <c r="L9" s="3" t="n">
        <v>11</v>
      </c>
      <c r="M9" s="3" t="n">
        <v>12</v>
      </c>
      <c r="N9" s="3" t="inlineStr">
        <is>
          <t>Total 12 m</t>
        </is>
      </c>
    </row>
    <row r="10">
      <c r="A10" t="inlineStr">
        <is>
          <t>Unidades</t>
        </is>
      </c>
      <c r="B10">
        <f>'I3 Supuestos'!$B$32*(1+'I3 Supuestos'!$C$32)^(1-1)</f>
        <v/>
      </c>
      <c r="C10">
        <f>'I3 Supuestos'!$B$32*(1+'I3 Supuestos'!$C$32)^(2-1)</f>
        <v/>
      </c>
      <c r="D10">
        <f>'I3 Supuestos'!$B$32*(1+'I3 Supuestos'!$C$32)^(3-1)</f>
        <v/>
      </c>
      <c r="E10">
        <f>'I3 Supuestos'!$B$32*(1+'I3 Supuestos'!$C$32)^(4-1)</f>
        <v/>
      </c>
      <c r="F10">
        <f>'I3 Supuestos'!$B$32*(1+'I3 Supuestos'!$C$32)^(5-1)</f>
        <v/>
      </c>
      <c r="G10">
        <f>'I3 Supuestos'!$B$32*(1+'I3 Supuestos'!$C$32)^(6-1)</f>
        <v/>
      </c>
      <c r="H10">
        <f>'I3 Supuestos'!$B$32*(1+'I3 Supuestos'!$C$32)^(7-1)</f>
        <v/>
      </c>
      <c r="I10">
        <f>'I3 Supuestos'!$B$32*(1+'I3 Supuestos'!$C$32)^(8-1)</f>
        <v/>
      </c>
      <c r="J10">
        <f>'I3 Supuestos'!$B$32*(1+'I3 Supuestos'!$C$32)^(9-1)</f>
        <v/>
      </c>
      <c r="K10">
        <f>'I3 Supuestos'!$B$32*(1+'I3 Supuestos'!$C$32)^(10-1)</f>
        <v/>
      </c>
      <c r="L10">
        <f>'I3 Supuestos'!$B$32*(1+'I3 Supuestos'!$C$32)^(11-1)</f>
        <v/>
      </c>
      <c r="M10">
        <f>'I3 Supuestos'!$B$32*(1+'I3 Supuestos'!$C$32)^(12-1)</f>
        <v/>
      </c>
      <c r="N10">
        <f>SUM(B10:M10)</f>
        <v/>
      </c>
    </row>
    <row r="11">
      <c r="A11" t="inlineStr">
        <is>
          <t>Ingresos netos</t>
        </is>
      </c>
      <c r="B11">
        <f>B10*$B$5</f>
        <v/>
      </c>
      <c r="C11">
        <f>C10*$B$5</f>
        <v/>
      </c>
      <c r="D11">
        <f>D10*$B$5</f>
        <v/>
      </c>
      <c r="E11">
        <f>E10*$B$5</f>
        <v/>
      </c>
      <c r="F11">
        <f>F10*$B$5</f>
        <v/>
      </c>
      <c r="G11">
        <f>G10*$B$5</f>
        <v/>
      </c>
      <c r="H11">
        <f>H10*$B$5</f>
        <v/>
      </c>
      <c r="I11">
        <f>I10*$B$5</f>
        <v/>
      </c>
      <c r="J11">
        <f>J10*$B$5</f>
        <v/>
      </c>
      <c r="K11">
        <f>K10*$B$5</f>
        <v/>
      </c>
      <c r="L11">
        <f>L10*$B$5</f>
        <v/>
      </c>
      <c r="M11">
        <f>M10*$B$5</f>
        <v/>
      </c>
      <c r="N11">
        <f>SUM(B11:M11)</f>
        <v/>
      </c>
    </row>
    <row r="12">
      <c r="A12" t="inlineStr">
        <is>
          <t>Costos variables</t>
        </is>
      </c>
      <c r="B12">
        <f>B10*$B$6</f>
        <v/>
      </c>
      <c r="C12">
        <f>C10*$B$6</f>
        <v/>
      </c>
      <c r="D12">
        <f>D10*$B$6</f>
        <v/>
      </c>
      <c r="E12">
        <f>E10*$B$6</f>
        <v/>
      </c>
      <c r="F12">
        <f>F10*$B$6</f>
        <v/>
      </c>
      <c r="G12">
        <f>G10*$B$6</f>
        <v/>
      </c>
      <c r="H12">
        <f>H10*$B$6</f>
        <v/>
      </c>
      <c r="I12">
        <f>I10*$B$6</f>
        <v/>
      </c>
      <c r="J12">
        <f>J10*$B$6</f>
        <v/>
      </c>
      <c r="K12">
        <f>K10*$B$6</f>
        <v/>
      </c>
      <c r="L12">
        <f>L10*$B$6</f>
        <v/>
      </c>
      <c r="M12">
        <f>M10*$B$6</f>
        <v/>
      </c>
      <c r="N12">
        <f>SUM(B12:M12)</f>
        <v/>
      </c>
    </row>
    <row r="13">
      <c r="A13" t="inlineStr">
        <is>
          <t>Costos fijos</t>
        </is>
      </c>
      <c r="B13">
        <f>$B$7</f>
        <v/>
      </c>
      <c r="C13">
        <f>$B$7</f>
        <v/>
      </c>
      <c r="D13">
        <f>$B$7</f>
        <v/>
      </c>
      <c r="E13">
        <f>$B$7</f>
        <v/>
      </c>
      <c r="F13">
        <f>$B$7</f>
        <v/>
      </c>
      <c r="G13">
        <f>$B$7</f>
        <v/>
      </c>
      <c r="H13">
        <f>$B$7</f>
        <v/>
      </c>
      <c r="I13">
        <f>$B$7</f>
        <v/>
      </c>
      <c r="J13">
        <f>$B$7</f>
        <v/>
      </c>
      <c r="K13">
        <f>$B$7</f>
        <v/>
      </c>
      <c r="L13">
        <f>$B$7</f>
        <v/>
      </c>
      <c r="M13">
        <f>$B$7</f>
        <v/>
      </c>
      <c r="N13">
        <f>SUM(B13:M13)</f>
        <v/>
      </c>
    </row>
    <row r="14">
      <c r="A14" t="inlineStr">
        <is>
          <t>Flujo neto</t>
        </is>
      </c>
      <c r="B14">
        <f>B11-B12-B13</f>
        <v/>
      </c>
      <c r="C14">
        <f>C11-C12-C13</f>
        <v/>
      </c>
      <c r="D14">
        <f>D11-D12-D13</f>
        <v/>
      </c>
      <c r="E14">
        <f>E11-E12-E13</f>
        <v/>
      </c>
      <c r="F14">
        <f>F11-F12-F13</f>
        <v/>
      </c>
      <c r="G14">
        <f>G11-G12-G13</f>
        <v/>
      </c>
      <c r="H14">
        <f>H11-H12-H13</f>
        <v/>
      </c>
      <c r="I14">
        <f>I11-I12-I13</f>
        <v/>
      </c>
      <c r="J14">
        <f>J11-J12-J13</f>
        <v/>
      </c>
      <c r="K14">
        <f>K11-K12-K13</f>
        <v/>
      </c>
      <c r="L14">
        <f>L11-L12-L13</f>
        <v/>
      </c>
      <c r="M14">
        <f>M11-M12-M13</f>
        <v/>
      </c>
      <c r="N14">
        <f>SUM(B14:M14)</f>
        <v/>
      </c>
    </row>
    <row r="15">
      <c r="A15" t="inlineStr">
        <is>
          <t>Acumulado (tras inversión)</t>
        </is>
      </c>
      <c r="B15">
        <f>-$B$8+B14</f>
        <v/>
      </c>
      <c r="C15">
        <f>B15+C14</f>
        <v/>
      </c>
      <c r="D15">
        <f>C15+D14</f>
        <v/>
      </c>
      <c r="E15">
        <f>D15+E14</f>
        <v/>
      </c>
      <c r="F15">
        <f>E15+F14</f>
        <v/>
      </c>
      <c r="G15">
        <f>F15+G14</f>
        <v/>
      </c>
      <c r="H15">
        <f>G15+H14</f>
        <v/>
      </c>
      <c r="I15">
        <f>H15+I14</f>
        <v/>
      </c>
      <c r="J15">
        <f>I15+J14</f>
        <v/>
      </c>
      <c r="K15">
        <f>J15+K14</f>
        <v/>
      </c>
      <c r="L15">
        <f>K15+L14</f>
        <v/>
      </c>
      <c r="M15">
        <f>L15+M14</f>
        <v/>
      </c>
      <c r="N15" s="2">
        <f>M15</f>
        <v/>
      </c>
    </row>
    <row r="16">
      <c r="A16" t="inlineStr">
        <is>
          <t>Mes en que acumulado ≥ 0</t>
        </is>
      </c>
      <c r="B16">
        <f>IF(B15&gt;=0,1,"")</f>
        <v/>
      </c>
      <c r="C16">
        <f>IF(C15&gt;=0,2,"")</f>
        <v/>
      </c>
      <c r="D16">
        <f>IF(D15&gt;=0,3,"")</f>
        <v/>
      </c>
      <c r="E16">
        <f>IF(E15&gt;=0,4,"")</f>
        <v/>
      </c>
      <c r="F16">
        <f>IF(F15&gt;=0,5,"")</f>
        <v/>
      </c>
      <c r="G16">
        <f>IF(G15&gt;=0,6,"")</f>
        <v/>
      </c>
      <c r="H16">
        <f>IF(H15&gt;=0,7,"")</f>
        <v/>
      </c>
      <c r="I16">
        <f>IF(I15&gt;=0,8,"")</f>
        <v/>
      </c>
      <c r="J16">
        <f>IF(J15&gt;=0,9,"")</f>
        <v/>
      </c>
      <c r="K16">
        <f>IF(K15&gt;=0,10,"")</f>
        <v/>
      </c>
      <c r="L16">
        <f>IF(L15&gt;=0,11,"")</f>
        <v/>
      </c>
      <c r="M16">
        <f>IF(M15&gt;=0,12,"")</f>
        <v/>
      </c>
      <c r="N16" s="2">
        <f>IF(COUNT(B16:M16)=0,"no en 12 meses",MIN(B16:M16))</f>
        <v/>
      </c>
    </row>
    <row r="17">
      <c r="A17" t="inlineStr">
        <is>
          <t>Horas/semana</t>
        </is>
      </c>
      <c r="B17">
        <f>'I3 Supuestos'!$B$10+'I3 Supuestos'!$B$11*B10/(4.333333333333333)</f>
        <v/>
      </c>
      <c r="C17">
        <f>'I3 Supuestos'!$B$10+'I3 Supuestos'!$B$11*C10/(4.333333333333333)</f>
        <v/>
      </c>
      <c r="D17">
        <f>'I3 Supuestos'!$B$10+'I3 Supuestos'!$B$11*D10/(4.333333333333333)</f>
        <v/>
      </c>
      <c r="E17">
        <f>'I3 Supuestos'!$B$10+'I3 Supuestos'!$B$11*E10/(4.333333333333333)</f>
        <v/>
      </c>
      <c r="F17">
        <f>'I3 Supuestos'!$B$10+'I3 Supuestos'!$B$11*F10/(4.333333333333333)</f>
        <v/>
      </c>
      <c r="G17">
        <f>'I3 Supuestos'!$B$10+'I3 Supuestos'!$B$11*G10/(4.333333333333333)</f>
        <v/>
      </c>
      <c r="H17">
        <f>'I3 Supuestos'!$B$10+'I3 Supuestos'!$B$11*H10/(4.333333333333333)</f>
        <v/>
      </c>
      <c r="I17">
        <f>'I3 Supuestos'!$B$10+'I3 Supuestos'!$B$11*I10/(4.333333333333333)</f>
        <v/>
      </c>
      <c r="J17">
        <f>'I3 Supuestos'!$B$10+'I3 Supuestos'!$B$11*J10/(4.333333333333333)</f>
        <v/>
      </c>
      <c r="K17">
        <f>'I3 Supuestos'!$B$10+'I3 Supuestos'!$B$11*K10/(4.333333333333333)</f>
        <v/>
      </c>
      <c r="L17">
        <f>'I3 Supuestos'!$B$10+'I3 Supuestos'!$B$11*L10/(4.333333333333333)</f>
        <v/>
      </c>
      <c r="M17">
        <f>'I3 Supuestos'!$B$10+'I3 Supuestos'!$B$11*M10/(4.333333333333333)</f>
        <v/>
      </c>
      <c r="N17" s="2">
        <f>MAX(B17:M17)</f>
        <v/>
      </c>
    </row>
    <row r="18">
      <c r="A18" t="inlineStr">
        <is>
          <t>Capital disponible (inicial + aportes)</t>
        </is>
      </c>
      <c r="B18">
        <f>Globales!$B$2+Globales!$B$3*1</f>
        <v/>
      </c>
      <c r="C18">
        <f>Globales!$B$2+Globales!$B$3*2</f>
        <v/>
      </c>
      <c r="D18">
        <f>Globales!$B$2+Globales!$B$3*3</f>
        <v/>
      </c>
      <c r="E18">
        <f>Globales!$B$2+Globales!$B$3*4</f>
        <v/>
      </c>
      <c r="F18">
        <f>Globales!$B$2+Globales!$B$3*5</f>
        <v/>
      </c>
      <c r="G18">
        <f>Globales!$B$2+Globales!$B$3*6</f>
        <v/>
      </c>
      <c r="H18">
        <f>Globales!$B$2+Globales!$B$3*7</f>
        <v/>
      </c>
      <c r="I18">
        <f>Globales!$B$2+Globales!$B$3*8</f>
        <v/>
      </c>
      <c r="J18">
        <f>Globales!$B$2+Globales!$B$3*9</f>
        <v/>
      </c>
      <c r="K18">
        <f>Globales!$B$2+Globales!$B$3*10</f>
        <v/>
      </c>
      <c r="L18">
        <f>Globales!$B$2+Globales!$B$3*11</f>
        <v/>
      </c>
      <c r="M18">
        <f>Globales!$B$2+Globales!$B$3*12</f>
        <v/>
      </c>
      <c r="N18" s="2">
        <f>IF(SUMPRODUCT(--(-B15:M15&gt;B18:M18))=0,"cabe en el capital","NO cabe")</f>
        <v/>
      </c>
    </row>
    <row r="19">
      <c r="A19" t="inlineStr">
        <is>
          <t>Mes en que flujo neto ≥ 1 sueldo</t>
        </is>
      </c>
      <c r="B19">
        <f>IF(B14&gt;=Globales!$B$9,1,"")</f>
        <v/>
      </c>
      <c r="C19">
        <f>IF(C14&gt;=Globales!$B$9,2,"")</f>
        <v/>
      </c>
      <c r="D19">
        <f>IF(D14&gt;=Globales!$B$9,3,"")</f>
        <v/>
      </c>
      <c r="E19">
        <f>IF(E14&gt;=Globales!$B$9,4,"")</f>
        <v/>
      </c>
      <c r="F19">
        <f>IF(F14&gt;=Globales!$B$9,5,"")</f>
        <v/>
      </c>
      <c r="G19">
        <f>IF(G14&gt;=Globales!$B$9,6,"")</f>
        <v/>
      </c>
      <c r="H19">
        <f>IF(H14&gt;=Globales!$B$9,7,"")</f>
        <v/>
      </c>
      <c r="I19">
        <f>IF(I14&gt;=Globales!$B$9,8,"")</f>
        <v/>
      </c>
      <c r="J19">
        <f>IF(J14&gt;=Globales!$B$9,9,"")</f>
        <v/>
      </c>
      <c r="K19">
        <f>IF(K14&gt;=Globales!$B$9,10,"")</f>
        <v/>
      </c>
      <c r="L19">
        <f>IF(L14&gt;=Globales!$B$9,11,"")</f>
        <v/>
      </c>
      <c r="M19">
        <f>IF(M14&gt;=Globales!$B$9,12,"")</f>
        <v/>
      </c>
      <c r="N19" s="2">
        <f>IF(COUNT(B19:M19)=0,"no en 12 meses",MIN(B19:M19))</f>
        <v/>
      </c>
    </row>
    <row r="21">
      <c r="A21" s="2" t="inlineStr">
        <is>
          <t>Escenario base</t>
        </is>
      </c>
    </row>
    <row r="22">
      <c r="A22" t="inlineStr">
        <is>
          <t>Precio escenario</t>
        </is>
      </c>
      <c r="B22">
        <f>'I3 Supuestos'!$B$4*'I3 Supuestos'!$D$33</f>
        <v/>
      </c>
    </row>
    <row r="23">
      <c r="A23" t="inlineStr">
        <is>
          <t>Ingreso neto unitario</t>
        </is>
      </c>
      <c r="B23">
        <f>IF('I3 Supuestos'!$B$5=1,B22/(1+'I3 Supuestos'!$B$6),B22)</f>
        <v/>
      </c>
    </row>
    <row r="24">
      <c r="A24" t="inlineStr">
        <is>
          <t>Costo variable total unitario</t>
        </is>
      </c>
      <c r="B24">
        <f>'I3 Supuestos'!$B$28+B22*'I3 Supuestos'!$B$7+'I3 Supuestos'!$B$8+B23*'I3 Supuestos'!$B$9</f>
        <v/>
      </c>
    </row>
    <row r="25">
      <c r="A25" t="inlineStr">
        <is>
          <t>Costos fijos mensuales</t>
        </is>
      </c>
      <c r="B25">
        <f>'I3 Supuestos'!$B$23</f>
        <v/>
      </c>
    </row>
    <row r="26">
      <c r="A26" t="inlineStr">
        <is>
          <t>Inversión inicial</t>
        </is>
      </c>
      <c r="B26">
        <f>'I3 Supuestos'!$B$16</f>
        <v/>
      </c>
    </row>
    <row r="27">
      <c r="A27" s="3" t="inlineStr">
        <is>
          <t>Mes</t>
        </is>
      </c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  <c r="H27" s="3" t="n">
        <v>7</v>
      </c>
      <c r="I27" s="3" t="n">
        <v>8</v>
      </c>
      <c r="J27" s="3" t="n">
        <v>9</v>
      </c>
      <c r="K27" s="3" t="n">
        <v>10</v>
      </c>
      <c r="L27" s="3" t="n">
        <v>11</v>
      </c>
      <c r="M27" s="3" t="n">
        <v>12</v>
      </c>
      <c r="N27" s="3" t="inlineStr">
        <is>
          <t>Total 12 m</t>
        </is>
      </c>
    </row>
    <row r="28">
      <c r="A28" t="inlineStr">
        <is>
          <t>Unidades</t>
        </is>
      </c>
      <c r="B28">
        <f>'I3 Supuestos'!$B$33*(1+'I3 Supuestos'!$C$33)^(1-1)</f>
        <v/>
      </c>
      <c r="C28">
        <f>'I3 Supuestos'!$B$33*(1+'I3 Supuestos'!$C$33)^(2-1)</f>
        <v/>
      </c>
      <c r="D28">
        <f>'I3 Supuestos'!$B$33*(1+'I3 Supuestos'!$C$33)^(3-1)</f>
        <v/>
      </c>
      <c r="E28">
        <f>'I3 Supuestos'!$B$33*(1+'I3 Supuestos'!$C$33)^(4-1)</f>
        <v/>
      </c>
      <c r="F28">
        <f>'I3 Supuestos'!$B$33*(1+'I3 Supuestos'!$C$33)^(5-1)</f>
        <v/>
      </c>
      <c r="G28">
        <f>'I3 Supuestos'!$B$33*(1+'I3 Supuestos'!$C$33)^(6-1)</f>
        <v/>
      </c>
      <c r="H28">
        <f>'I3 Supuestos'!$B$33*(1+'I3 Supuestos'!$C$33)^(7-1)</f>
        <v/>
      </c>
      <c r="I28">
        <f>'I3 Supuestos'!$B$33*(1+'I3 Supuestos'!$C$33)^(8-1)</f>
        <v/>
      </c>
      <c r="J28">
        <f>'I3 Supuestos'!$B$33*(1+'I3 Supuestos'!$C$33)^(9-1)</f>
        <v/>
      </c>
      <c r="K28">
        <f>'I3 Supuestos'!$B$33*(1+'I3 Supuestos'!$C$33)^(10-1)</f>
        <v/>
      </c>
      <c r="L28">
        <f>'I3 Supuestos'!$B$33*(1+'I3 Supuestos'!$C$33)^(11-1)</f>
        <v/>
      </c>
      <c r="M28">
        <f>'I3 Supuestos'!$B$33*(1+'I3 Supuestos'!$C$33)^(12-1)</f>
        <v/>
      </c>
      <c r="N28">
        <f>SUM(B28:M28)</f>
        <v/>
      </c>
    </row>
    <row r="29">
      <c r="A29" t="inlineStr">
        <is>
          <t>Ingresos netos</t>
        </is>
      </c>
      <c r="B29">
        <f>B28*$B$23</f>
        <v/>
      </c>
      <c r="C29">
        <f>C28*$B$23</f>
        <v/>
      </c>
      <c r="D29">
        <f>D28*$B$23</f>
        <v/>
      </c>
      <c r="E29">
        <f>E28*$B$23</f>
        <v/>
      </c>
      <c r="F29">
        <f>F28*$B$23</f>
        <v/>
      </c>
      <c r="G29">
        <f>G28*$B$23</f>
        <v/>
      </c>
      <c r="H29">
        <f>H28*$B$23</f>
        <v/>
      </c>
      <c r="I29">
        <f>I28*$B$23</f>
        <v/>
      </c>
      <c r="J29">
        <f>J28*$B$23</f>
        <v/>
      </c>
      <c r="K29">
        <f>K28*$B$23</f>
        <v/>
      </c>
      <c r="L29">
        <f>L28*$B$23</f>
        <v/>
      </c>
      <c r="M29">
        <f>M28*$B$23</f>
        <v/>
      </c>
      <c r="N29">
        <f>SUM(B29:M29)</f>
        <v/>
      </c>
    </row>
    <row r="30">
      <c r="A30" t="inlineStr">
        <is>
          <t>Costos variables</t>
        </is>
      </c>
      <c r="B30">
        <f>B28*$B$24</f>
        <v/>
      </c>
      <c r="C30">
        <f>C28*$B$24</f>
        <v/>
      </c>
      <c r="D30">
        <f>D28*$B$24</f>
        <v/>
      </c>
      <c r="E30">
        <f>E28*$B$24</f>
        <v/>
      </c>
      <c r="F30">
        <f>F28*$B$24</f>
        <v/>
      </c>
      <c r="G30">
        <f>G28*$B$24</f>
        <v/>
      </c>
      <c r="H30">
        <f>H28*$B$24</f>
        <v/>
      </c>
      <c r="I30">
        <f>I28*$B$24</f>
        <v/>
      </c>
      <c r="J30">
        <f>J28*$B$24</f>
        <v/>
      </c>
      <c r="K30">
        <f>K28*$B$24</f>
        <v/>
      </c>
      <c r="L30">
        <f>L28*$B$24</f>
        <v/>
      </c>
      <c r="M30">
        <f>M28*$B$24</f>
        <v/>
      </c>
      <c r="N30">
        <f>SUM(B30:M30)</f>
        <v/>
      </c>
    </row>
    <row r="31">
      <c r="A31" t="inlineStr">
        <is>
          <t>Costos fijos</t>
        </is>
      </c>
      <c r="B31">
        <f>$B$25</f>
        <v/>
      </c>
      <c r="C31">
        <f>$B$25</f>
        <v/>
      </c>
      <c r="D31">
        <f>$B$25</f>
        <v/>
      </c>
      <c r="E31">
        <f>$B$25</f>
        <v/>
      </c>
      <c r="F31">
        <f>$B$25</f>
        <v/>
      </c>
      <c r="G31">
        <f>$B$25</f>
        <v/>
      </c>
      <c r="H31">
        <f>$B$25</f>
        <v/>
      </c>
      <c r="I31">
        <f>$B$25</f>
        <v/>
      </c>
      <c r="J31">
        <f>$B$25</f>
        <v/>
      </c>
      <c r="K31">
        <f>$B$25</f>
        <v/>
      </c>
      <c r="L31">
        <f>$B$25</f>
        <v/>
      </c>
      <c r="M31">
        <f>$B$25</f>
        <v/>
      </c>
      <c r="N31">
        <f>SUM(B31:M31)</f>
        <v/>
      </c>
    </row>
    <row r="32">
      <c r="A32" t="inlineStr">
        <is>
          <t>Flujo neto</t>
        </is>
      </c>
      <c r="B32">
        <f>B29-B30-B31</f>
        <v/>
      </c>
      <c r="C32">
        <f>C29-C30-C31</f>
        <v/>
      </c>
      <c r="D32">
        <f>D29-D30-D31</f>
        <v/>
      </c>
      <c r="E32">
        <f>E29-E30-E31</f>
        <v/>
      </c>
      <c r="F32">
        <f>F29-F30-F31</f>
        <v/>
      </c>
      <c r="G32">
        <f>G29-G30-G31</f>
        <v/>
      </c>
      <c r="H32">
        <f>H29-H30-H31</f>
        <v/>
      </c>
      <c r="I32">
        <f>I29-I30-I31</f>
        <v/>
      </c>
      <c r="J32">
        <f>J29-J30-J31</f>
        <v/>
      </c>
      <c r="K32">
        <f>K29-K30-K31</f>
        <v/>
      </c>
      <c r="L32">
        <f>L29-L30-L31</f>
        <v/>
      </c>
      <c r="M32">
        <f>M29-M30-M31</f>
        <v/>
      </c>
      <c r="N32">
        <f>SUM(B32:M32)</f>
        <v/>
      </c>
    </row>
    <row r="33">
      <c r="A33" t="inlineStr">
        <is>
          <t>Acumulado (tras inversión)</t>
        </is>
      </c>
      <c r="B33">
        <f>-$B$26+B32</f>
        <v/>
      </c>
      <c r="C33">
        <f>B33+C32</f>
        <v/>
      </c>
      <c r="D33">
        <f>C33+D32</f>
        <v/>
      </c>
      <c r="E33">
        <f>D33+E32</f>
        <v/>
      </c>
      <c r="F33">
        <f>E33+F32</f>
        <v/>
      </c>
      <c r="G33">
        <f>F33+G32</f>
        <v/>
      </c>
      <c r="H33">
        <f>G33+H32</f>
        <v/>
      </c>
      <c r="I33">
        <f>H33+I32</f>
        <v/>
      </c>
      <c r="J33">
        <f>I33+J32</f>
        <v/>
      </c>
      <c r="K33">
        <f>J33+K32</f>
        <v/>
      </c>
      <c r="L33">
        <f>K33+L32</f>
        <v/>
      </c>
      <c r="M33">
        <f>L33+M32</f>
        <v/>
      </c>
      <c r="N33" s="2">
        <f>M33</f>
        <v/>
      </c>
    </row>
    <row r="34">
      <c r="A34" t="inlineStr">
        <is>
          <t>Mes en que acumulado ≥ 0</t>
        </is>
      </c>
      <c r="B34">
        <f>IF(B33&gt;=0,1,"")</f>
        <v/>
      </c>
      <c r="C34">
        <f>IF(C33&gt;=0,2,"")</f>
        <v/>
      </c>
      <c r="D34">
        <f>IF(D33&gt;=0,3,"")</f>
        <v/>
      </c>
      <c r="E34">
        <f>IF(E33&gt;=0,4,"")</f>
        <v/>
      </c>
      <c r="F34">
        <f>IF(F33&gt;=0,5,"")</f>
        <v/>
      </c>
      <c r="G34">
        <f>IF(G33&gt;=0,6,"")</f>
        <v/>
      </c>
      <c r="H34">
        <f>IF(H33&gt;=0,7,"")</f>
        <v/>
      </c>
      <c r="I34">
        <f>IF(I33&gt;=0,8,"")</f>
        <v/>
      </c>
      <c r="J34">
        <f>IF(J33&gt;=0,9,"")</f>
        <v/>
      </c>
      <c r="K34">
        <f>IF(K33&gt;=0,10,"")</f>
        <v/>
      </c>
      <c r="L34">
        <f>IF(L33&gt;=0,11,"")</f>
        <v/>
      </c>
      <c r="M34">
        <f>IF(M33&gt;=0,12,"")</f>
        <v/>
      </c>
      <c r="N34" s="2">
        <f>IF(COUNT(B34:M34)=0,"no en 12 meses",MIN(B34:M34))</f>
        <v/>
      </c>
    </row>
    <row r="35">
      <c r="A35" t="inlineStr">
        <is>
          <t>Horas/semana</t>
        </is>
      </c>
      <c r="B35">
        <f>'I3 Supuestos'!$B$10+'I3 Supuestos'!$B$11*B28/(4.333333333333333)</f>
        <v/>
      </c>
      <c r="C35">
        <f>'I3 Supuestos'!$B$10+'I3 Supuestos'!$B$11*C28/(4.333333333333333)</f>
        <v/>
      </c>
      <c r="D35">
        <f>'I3 Supuestos'!$B$10+'I3 Supuestos'!$B$11*D28/(4.333333333333333)</f>
        <v/>
      </c>
      <c r="E35">
        <f>'I3 Supuestos'!$B$10+'I3 Supuestos'!$B$11*E28/(4.333333333333333)</f>
        <v/>
      </c>
      <c r="F35">
        <f>'I3 Supuestos'!$B$10+'I3 Supuestos'!$B$11*F28/(4.333333333333333)</f>
        <v/>
      </c>
      <c r="G35">
        <f>'I3 Supuestos'!$B$10+'I3 Supuestos'!$B$11*G28/(4.333333333333333)</f>
        <v/>
      </c>
      <c r="H35">
        <f>'I3 Supuestos'!$B$10+'I3 Supuestos'!$B$11*H28/(4.333333333333333)</f>
        <v/>
      </c>
      <c r="I35">
        <f>'I3 Supuestos'!$B$10+'I3 Supuestos'!$B$11*I28/(4.333333333333333)</f>
        <v/>
      </c>
      <c r="J35">
        <f>'I3 Supuestos'!$B$10+'I3 Supuestos'!$B$11*J28/(4.333333333333333)</f>
        <v/>
      </c>
      <c r="K35">
        <f>'I3 Supuestos'!$B$10+'I3 Supuestos'!$B$11*K28/(4.333333333333333)</f>
        <v/>
      </c>
      <c r="L35">
        <f>'I3 Supuestos'!$B$10+'I3 Supuestos'!$B$11*L28/(4.333333333333333)</f>
        <v/>
      </c>
      <c r="M35">
        <f>'I3 Supuestos'!$B$10+'I3 Supuestos'!$B$11*M28/(4.333333333333333)</f>
        <v/>
      </c>
      <c r="N35" s="2">
        <f>MAX(B35:M35)</f>
        <v/>
      </c>
    </row>
    <row r="36">
      <c r="A36" t="inlineStr">
        <is>
          <t>Capital disponible (inicial + aportes)</t>
        </is>
      </c>
      <c r="B36">
        <f>Globales!$B$2+Globales!$B$3*1</f>
        <v/>
      </c>
      <c r="C36">
        <f>Globales!$B$2+Globales!$B$3*2</f>
        <v/>
      </c>
      <c r="D36">
        <f>Globales!$B$2+Globales!$B$3*3</f>
        <v/>
      </c>
      <c r="E36">
        <f>Globales!$B$2+Globales!$B$3*4</f>
        <v/>
      </c>
      <c r="F36">
        <f>Globales!$B$2+Globales!$B$3*5</f>
        <v/>
      </c>
      <c r="G36">
        <f>Globales!$B$2+Globales!$B$3*6</f>
        <v/>
      </c>
      <c r="H36">
        <f>Globales!$B$2+Globales!$B$3*7</f>
        <v/>
      </c>
      <c r="I36">
        <f>Globales!$B$2+Globales!$B$3*8</f>
        <v/>
      </c>
      <c r="J36">
        <f>Globales!$B$2+Globales!$B$3*9</f>
        <v/>
      </c>
      <c r="K36">
        <f>Globales!$B$2+Globales!$B$3*10</f>
        <v/>
      </c>
      <c r="L36">
        <f>Globales!$B$2+Globales!$B$3*11</f>
        <v/>
      </c>
      <c r="M36">
        <f>Globales!$B$2+Globales!$B$3*12</f>
        <v/>
      </c>
      <c r="N36" s="2">
        <f>IF(SUMPRODUCT(--(-B33:M33&gt;B36:M36))=0,"cabe en el capital","NO cabe")</f>
        <v/>
      </c>
    </row>
    <row r="37">
      <c r="A37" t="inlineStr">
        <is>
          <t>Mes en que flujo neto ≥ 1 sueldo</t>
        </is>
      </c>
      <c r="B37">
        <f>IF(B32&gt;=Globales!$B$9,1,"")</f>
        <v/>
      </c>
      <c r="C37">
        <f>IF(C32&gt;=Globales!$B$9,2,"")</f>
        <v/>
      </c>
      <c r="D37">
        <f>IF(D32&gt;=Globales!$B$9,3,"")</f>
        <v/>
      </c>
      <c r="E37">
        <f>IF(E32&gt;=Globales!$B$9,4,"")</f>
        <v/>
      </c>
      <c r="F37">
        <f>IF(F32&gt;=Globales!$B$9,5,"")</f>
        <v/>
      </c>
      <c r="G37">
        <f>IF(G32&gt;=Globales!$B$9,6,"")</f>
        <v/>
      </c>
      <c r="H37">
        <f>IF(H32&gt;=Globales!$B$9,7,"")</f>
        <v/>
      </c>
      <c r="I37">
        <f>IF(I32&gt;=Globales!$B$9,8,"")</f>
        <v/>
      </c>
      <c r="J37">
        <f>IF(J32&gt;=Globales!$B$9,9,"")</f>
        <v/>
      </c>
      <c r="K37">
        <f>IF(K32&gt;=Globales!$B$9,10,"")</f>
        <v/>
      </c>
      <c r="L37">
        <f>IF(L32&gt;=Globales!$B$9,11,"")</f>
        <v/>
      </c>
      <c r="M37">
        <f>IF(M32&gt;=Globales!$B$9,12,"")</f>
        <v/>
      </c>
      <c r="N37" s="2">
        <f>IF(COUNT(B37:M37)=0,"no en 12 meses",MIN(B37:M37))</f>
        <v/>
      </c>
    </row>
    <row r="39">
      <c r="A39" s="2" t="inlineStr">
        <is>
          <t>Escenario optimista</t>
        </is>
      </c>
    </row>
    <row r="40">
      <c r="A40" t="inlineStr">
        <is>
          <t>Precio escenario</t>
        </is>
      </c>
      <c r="B40">
        <f>'I3 Supuestos'!$B$4*'I3 Supuestos'!$D$34</f>
        <v/>
      </c>
    </row>
    <row r="41">
      <c r="A41" t="inlineStr">
        <is>
          <t>Ingreso neto unitario</t>
        </is>
      </c>
      <c r="B41">
        <f>IF('I3 Supuestos'!$B$5=1,B40/(1+'I3 Supuestos'!$B$6),B40)</f>
        <v/>
      </c>
    </row>
    <row r="42">
      <c r="A42" t="inlineStr">
        <is>
          <t>Costo variable total unitario</t>
        </is>
      </c>
      <c r="B42">
        <f>'I3 Supuestos'!$B$28+B40*'I3 Supuestos'!$B$7+'I3 Supuestos'!$B$8+B41*'I3 Supuestos'!$B$9</f>
        <v/>
      </c>
    </row>
    <row r="43">
      <c r="A43" t="inlineStr">
        <is>
          <t>Costos fijos mensuales</t>
        </is>
      </c>
      <c r="B43">
        <f>'I3 Supuestos'!$B$23</f>
        <v/>
      </c>
    </row>
    <row r="44">
      <c r="A44" t="inlineStr">
        <is>
          <t>Inversión inicial</t>
        </is>
      </c>
      <c r="B44">
        <f>'I3 Supuestos'!$B$16</f>
        <v/>
      </c>
    </row>
    <row r="45">
      <c r="A45" s="3" t="inlineStr">
        <is>
          <t>Mes</t>
        </is>
      </c>
      <c r="B45" s="3" t="n">
        <v>1</v>
      </c>
      <c r="C45" s="3" t="n">
        <v>2</v>
      </c>
      <c r="D45" s="3" t="n">
        <v>3</v>
      </c>
      <c r="E45" s="3" t="n">
        <v>4</v>
      </c>
      <c r="F45" s="3" t="n">
        <v>5</v>
      </c>
      <c r="G45" s="3" t="n">
        <v>6</v>
      </c>
      <c r="H45" s="3" t="n">
        <v>7</v>
      </c>
      <c r="I45" s="3" t="n">
        <v>8</v>
      </c>
      <c r="J45" s="3" t="n">
        <v>9</v>
      </c>
      <c r="K45" s="3" t="n">
        <v>10</v>
      </c>
      <c r="L45" s="3" t="n">
        <v>11</v>
      </c>
      <c r="M45" s="3" t="n">
        <v>12</v>
      </c>
      <c r="N45" s="3" t="inlineStr">
        <is>
          <t>Total 12 m</t>
        </is>
      </c>
    </row>
    <row r="46">
      <c r="A46" t="inlineStr">
        <is>
          <t>Unidades</t>
        </is>
      </c>
      <c r="B46">
        <f>'I3 Supuestos'!$B$34*(1+'I3 Supuestos'!$C$34)^(1-1)</f>
        <v/>
      </c>
      <c r="C46">
        <f>'I3 Supuestos'!$B$34*(1+'I3 Supuestos'!$C$34)^(2-1)</f>
        <v/>
      </c>
      <c r="D46">
        <f>'I3 Supuestos'!$B$34*(1+'I3 Supuestos'!$C$34)^(3-1)</f>
        <v/>
      </c>
      <c r="E46">
        <f>'I3 Supuestos'!$B$34*(1+'I3 Supuestos'!$C$34)^(4-1)</f>
        <v/>
      </c>
      <c r="F46">
        <f>'I3 Supuestos'!$B$34*(1+'I3 Supuestos'!$C$34)^(5-1)</f>
        <v/>
      </c>
      <c r="G46">
        <f>'I3 Supuestos'!$B$34*(1+'I3 Supuestos'!$C$34)^(6-1)</f>
        <v/>
      </c>
      <c r="H46">
        <f>'I3 Supuestos'!$B$34*(1+'I3 Supuestos'!$C$34)^(7-1)</f>
        <v/>
      </c>
      <c r="I46">
        <f>'I3 Supuestos'!$B$34*(1+'I3 Supuestos'!$C$34)^(8-1)</f>
        <v/>
      </c>
      <c r="J46">
        <f>'I3 Supuestos'!$B$34*(1+'I3 Supuestos'!$C$34)^(9-1)</f>
        <v/>
      </c>
      <c r="K46">
        <f>'I3 Supuestos'!$B$34*(1+'I3 Supuestos'!$C$34)^(10-1)</f>
        <v/>
      </c>
      <c r="L46">
        <f>'I3 Supuestos'!$B$34*(1+'I3 Supuestos'!$C$34)^(11-1)</f>
        <v/>
      </c>
      <c r="M46">
        <f>'I3 Supuestos'!$B$34*(1+'I3 Supuestos'!$C$34)^(12-1)</f>
        <v/>
      </c>
      <c r="N46">
        <f>SUM(B46:M46)</f>
        <v/>
      </c>
    </row>
    <row r="47">
      <c r="A47" t="inlineStr">
        <is>
          <t>Ingresos netos</t>
        </is>
      </c>
      <c r="B47">
        <f>B46*$B$41</f>
        <v/>
      </c>
      <c r="C47">
        <f>C46*$B$41</f>
        <v/>
      </c>
      <c r="D47">
        <f>D46*$B$41</f>
        <v/>
      </c>
      <c r="E47">
        <f>E46*$B$41</f>
        <v/>
      </c>
      <c r="F47">
        <f>F46*$B$41</f>
        <v/>
      </c>
      <c r="G47">
        <f>G46*$B$41</f>
        <v/>
      </c>
      <c r="H47">
        <f>H46*$B$41</f>
        <v/>
      </c>
      <c r="I47">
        <f>I46*$B$41</f>
        <v/>
      </c>
      <c r="J47">
        <f>J46*$B$41</f>
        <v/>
      </c>
      <c r="K47">
        <f>K46*$B$41</f>
        <v/>
      </c>
      <c r="L47">
        <f>L46*$B$41</f>
        <v/>
      </c>
      <c r="M47">
        <f>M46*$B$41</f>
        <v/>
      </c>
      <c r="N47">
        <f>SUM(B47:M47)</f>
        <v/>
      </c>
    </row>
    <row r="48">
      <c r="A48" t="inlineStr">
        <is>
          <t>Costos variables</t>
        </is>
      </c>
      <c r="B48">
        <f>B46*$B$42</f>
        <v/>
      </c>
      <c r="C48">
        <f>C46*$B$42</f>
        <v/>
      </c>
      <c r="D48">
        <f>D46*$B$42</f>
        <v/>
      </c>
      <c r="E48">
        <f>E46*$B$42</f>
        <v/>
      </c>
      <c r="F48">
        <f>F46*$B$42</f>
        <v/>
      </c>
      <c r="G48">
        <f>G46*$B$42</f>
        <v/>
      </c>
      <c r="H48">
        <f>H46*$B$42</f>
        <v/>
      </c>
      <c r="I48">
        <f>I46*$B$42</f>
        <v/>
      </c>
      <c r="J48">
        <f>J46*$B$42</f>
        <v/>
      </c>
      <c r="K48">
        <f>K46*$B$42</f>
        <v/>
      </c>
      <c r="L48">
        <f>L46*$B$42</f>
        <v/>
      </c>
      <c r="M48">
        <f>M46*$B$42</f>
        <v/>
      </c>
      <c r="N48">
        <f>SUM(B48:M48)</f>
        <v/>
      </c>
    </row>
    <row r="49">
      <c r="A49" t="inlineStr">
        <is>
          <t>Costos fijos</t>
        </is>
      </c>
      <c r="B49">
        <f>$B$43</f>
        <v/>
      </c>
      <c r="C49">
        <f>$B$43</f>
        <v/>
      </c>
      <c r="D49">
        <f>$B$43</f>
        <v/>
      </c>
      <c r="E49">
        <f>$B$43</f>
        <v/>
      </c>
      <c r="F49">
        <f>$B$43</f>
        <v/>
      </c>
      <c r="G49">
        <f>$B$43</f>
        <v/>
      </c>
      <c r="H49">
        <f>$B$43</f>
        <v/>
      </c>
      <c r="I49">
        <f>$B$43</f>
        <v/>
      </c>
      <c r="J49">
        <f>$B$43</f>
        <v/>
      </c>
      <c r="K49">
        <f>$B$43</f>
        <v/>
      </c>
      <c r="L49">
        <f>$B$43</f>
        <v/>
      </c>
      <c r="M49">
        <f>$B$43</f>
        <v/>
      </c>
      <c r="N49">
        <f>SUM(B49:M49)</f>
        <v/>
      </c>
    </row>
    <row r="50">
      <c r="A50" t="inlineStr">
        <is>
          <t>Flujo neto</t>
        </is>
      </c>
      <c r="B50">
        <f>B47-B48-B49</f>
        <v/>
      </c>
      <c r="C50">
        <f>C47-C48-C49</f>
        <v/>
      </c>
      <c r="D50">
        <f>D47-D48-D49</f>
        <v/>
      </c>
      <c r="E50">
        <f>E47-E48-E49</f>
        <v/>
      </c>
      <c r="F50">
        <f>F47-F48-F49</f>
        <v/>
      </c>
      <c r="G50">
        <f>G47-G48-G49</f>
        <v/>
      </c>
      <c r="H50">
        <f>H47-H48-H49</f>
        <v/>
      </c>
      <c r="I50">
        <f>I47-I48-I49</f>
        <v/>
      </c>
      <c r="J50">
        <f>J47-J48-J49</f>
        <v/>
      </c>
      <c r="K50">
        <f>K47-K48-K49</f>
        <v/>
      </c>
      <c r="L50">
        <f>L47-L48-L49</f>
        <v/>
      </c>
      <c r="M50">
        <f>M47-M48-M49</f>
        <v/>
      </c>
      <c r="N50">
        <f>SUM(B50:M50)</f>
        <v/>
      </c>
    </row>
    <row r="51">
      <c r="A51" t="inlineStr">
        <is>
          <t>Acumulado (tras inversión)</t>
        </is>
      </c>
      <c r="B51">
        <f>-$B$44+B50</f>
        <v/>
      </c>
      <c r="C51">
        <f>B51+C50</f>
        <v/>
      </c>
      <c r="D51">
        <f>C51+D50</f>
        <v/>
      </c>
      <c r="E51">
        <f>D51+E50</f>
        <v/>
      </c>
      <c r="F51">
        <f>E51+F50</f>
        <v/>
      </c>
      <c r="G51">
        <f>F51+G50</f>
        <v/>
      </c>
      <c r="H51">
        <f>G51+H50</f>
        <v/>
      </c>
      <c r="I51">
        <f>H51+I50</f>
        <v/>
      </c>
      <c r="J51">
        <f>I51+J50</f>
        <v/>
      </c>
      <c r="K51">
        <f>J51+K50</f>
        <v/>
      </c>
      <c r="L51">
        <f>K51+L50</f>
        <v/>
      </c>
      <c r="M51">
        <f>L51+M50</f>
        <v/>
      </c>
      <c r="N51" s="2">
        <f>M51</f>
        <v/>
      </c>
    </row>
    <row r="52">
      <c r="A52" t="inlineStr">
        <is>
          <t>Mes en que acumulado ≥ 0</t>
        </is>
      </c>
      <c r="B52">
        <f>IF(B51&gt;=0,1,"")</f>
        <v/>
      </c>
      <c r="C52">
        <f>IF(C51&gt;=0,2,"")</f>
        <v/>
      </c>
      <c r="D52">
        <f>IF(D51&gt;=0,3,"")</f>
        <v/>
      </c>
      <c r="E52">
        <f>IF(E51&gt;=0,4,"")</f>
        <v/>
      </c>
      <c r="F52">
        <f>IF(F51&gt;=0,5,"")</f>
        <v/>
      </c>
      <c r="G52">
        <f>IF(G51&gt;=0,6,"")</f>
        <v/>
      </c>
      <c r="H52">
        <f>IF(H51&gt;=0,7,"")</f>
        <v/>
      </c>
      <c r="I52">
        <f>IF(I51&gt;=0,8,"")</f>
        <v/>
      </c>
      <c r="J52">
        <f>IF(J51&gt;=0,9,"")</f>
        <v/>
      </c>
      <c r="K52">
        <f>IF(K51&gt;=0,10,"")</f>
        <v/>
      </c>
      <c r="L52">
        <f>IF(L51&gt;=0,11,"")</f>
        <v/>
      </c>
      <c r="M52">
        <f>IF(M51&gt;=0,12,"")</f>
        <v/>
      </c>
      <c r="N52" s="2">
        <f>IF(COUNT(B52:M52)=0,"no en 12 meses",MIN(B52:M52))</f>
        <v/>
      </c>
    </row>
    <row r="53">
      <c r="A53" t="inlineStr">
        <is>
          <t>Horas/semana</t>
        </is>
      </c>
      <c r="B53">
        <f>'I3 Supuestos'!$B$10+'I3 Supuestos'!$B$11*B46/(4.333333333333333)</f>
        <v/>
      </c>
      <c r="C53">
        <f>'I3 Supuestos'!$B$10+'I3 Supuestos'!$B$11*C46/(4.333333333333333)</f>
        <v/>
      </c>
      <c r="D53">
        <f>'I3 Supuestos'!$B$10+'I3 Supuestos'!$B$11*D46/(4.333333333333333)</f>
        <v/>
      </c>
      <c r="E53">
        <f>'I3 Supuestos'!$B$10+'I3 Supuestos'!$B$11*E46/(4.333333333333333)</f>
        <v/>
      </c>
      <c r="F53">
        <f>'I3 Supuestos'!$B$10+'I3 Supuestos'!$B$11*F46/(4.333333333333333)</f>
        <v/>
      </c>
      <c r="G53">
        <f>'I3 Supuestos'!$B$10+'I3 Supuestos'!$B$11*G46/(4.333333333333333)</f>
        <v/>
      </c>
      <c r="H53">
        <f>'I3 Supuestos'!$B$10+'I3 Supuestos'!$B$11*H46/(4.333333333333333)</f>
        <v/>
      </c>
      <c r="I53">
        <f>'I3 Supuestos'!$B$10+'I3 Supuestos'!$B$11*I46/(4.333333333333333)</f>
        <v/>
      </c>
      <c r="J53">
        <f>'I3 Supuestos'!$B$10+'I3 Supuestos'!$B$11*J46/(4.333333333333333)</f>
        <v/>
      </c>
      <c r="K53">
        <f>'I3 Supuestos'!$B$10+'I3 Supuestos'!$B$11*K46/(4.333333333333333)</f>
        <v/>
      </c>
      <c r="L53">
        <f>'I3 Supuestos'!$B$10+'I3 Supuestos'!$B$11*L46/(4.333333333333333)</f>
        <v/>
      </c>
      <c r="M53">
        <f>'I3 Supuestos'!$B$10+'I3 Supuestos'!$B$11*M46/(4.333333333333333)</f>
        <v/>
      </c>
      <c r="N53" s="2">
        <f>MAX(B53:M53)</f>
        <v/>
      </c>
    </row>
    <row r="54">
      <c r="A54" t="inlineStr">
        <is>
          <t>Capital disponible (inicial + aportes)</t>
        </is>
      </c>
      <c r="B54">
        <f>Globales!$B$2+Globales!$B$3*1</f>
        <v/>
      </c>
      <c r="C54">
        <f>Globales!$B$2+Globales!$B$3*2</f>
        <v/>
      </c>
      <c r="D54">
        <f>Globales!$B$2+Globales!$B$3*3</f>
        <v/>
      </c>
      <c r="E54">
        <f>Globales!$B$2+Globales!$B$3*4</f>
        <v/>
      </c>
      <c r="F54">
        <f>Globales!$B$2+Globales!$B$3*5</f>
        <v/>
      </c>
      <c r="G54">
        <f>Globales!$B$2+Globales!$B$3*6</f>
        <v/>
      </c>
      <c r="H54">
        <f>Globales!$B$2+Globales!$B$3*7</f>
        <v/>
      </c>
      <c r="I54">
        <f>Globales!$B$2+Globales!$B$3*8</f>
        <v/>
      </c>
      <c r="J54">
        <f>Globales!$B$2+Globales!$B$3*9</f>
        <v/>
      </c>
      <c r="K54">
        <f>Globales!$B$2+Globales!$B$3*10</f>
        <v/>
      </c>
      <c r="L54">
        <f>Globales!$B$2+Globales!$B$3*11</f>
        <v/>
      </c>
      <c r="M54">
        <f>Globales!$B$2+Globales!$B$3*12</f>
        <v/>
      </c>
      <c r="N54" s="2">
        <f>IF(SUMPRODUCT(--(-B51:M51&gt;B54:M54))=0,"cabe en el capital","NO cabe")</f>
        <v/>
      </c>
    </row>
    <row r="55">
      <c r="A55" t="inlineStr">
        <is>
          <t>Mes en que flujo neto ≥ 1 sueldo</t>
        </is>
      </c>
      <c r="B55">
        <f>IF(B50&gt;=Globales!$B$9,1,"")</f>
        <v/>
      </c>
      <c r="C55">
        <f>IF(C50&gt;=Globales!$B$9,2,"")</f>
        <v/>
      </c>
      <c r="D55">
        <f>IF(D50&gt;=Globales!$B$9,3,"")</f>
        <v/>
      </c>
      <c r="E55">
        <f>IF(E50&gt;=Globales!$B$9,4,"")</f>
        <v/>
      </c>
      <c r="F55">
        <f>IF(F50&gt;=Globales!$B$9,5,"")</f>
        <v/>
      </c>
      <c r="G55">
        <f>IF(G50&gt;=Globales!$B$9,6,"")</f>
        <v/>
      </c>
      <c r="H55">
        <f>IF(H50&gt;=Globales!$B$9,7,"")</f>
        <v/>
      </c>
      <c r="I55">
        <f>IF(I50&gt;=Globales!$B$9,8,"")</f>
        <v/>
      </c>
      <c r="J55">
        <f>IF(J50&gt;=Globales!$B$9,9,"")</f>
        <v/>
      </c>
      <c r="K55">
        <f>IF(K50&gt;=Globales!$B$9,10,"")</f>
        <v/>
      </c>
      <c r="L55">
        <f>IF(L50&gt;=Globales!$B$9,11,"")</f>
        <v/>
      </c>
      <c r="M55">
        <f>IF(M50&gt;=Globales!$B$9,12,"")</f>
        <v/>
      </c>
      <c r="N55" s="2">
        <f>IF(COUNT(B55:M55)=0,"no en 12 meses",MIN(B55:M55))</f>
        <v/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Sensibilidad — 3. Taller 'construye tu app con IA' (ficha 13) — escenario base, ±20 % una variable a la vez</t>
        </is>
      </c>
    </row>
    <row r="2">
      <c r="A2" t="inlineStr">
        <is>
          <t>Resultado 12 m = Σ unidades × margen unitario − 12 × fijos − inversión; Σ unidades = u1·((1+g)^12−1)/g</t>
        </is>
      </c>
    </row>
    <row r="3">
      <c r="A3" t="inlineStr">
        <is>
          <t>Variación</t>
        </is>
      </c>
      <c r="B3" s="5" t="n">
        <v>0.2</v>
      </c>
    </row>
    <row r="4">
      <c r="A4" s="3" t="inlineStr">
        <is>
          <t>Variable</t>
        </is>
      </c>
      <c r="B4" s="3" t="inlineStr">
        <is>
          <t>Valor base</t>
        </is>
      </c>
      <c r="C4" s="3" t="inlineStr">
        <is>
          <t>Resultado base</t>
        </is>
      </c>
      <c r="D4" s="3" t="inlineStr">
        <is>
          <t>Resultado −var</t>
        </is>
      </c>
      <c r="E4" s="3" t="inlineStr">
        <is>
          <t>Resultado +var</t>
        </is>
      </c>
      <c r="F4" s="3" t="inlineStr">
        <is>
          <t>Rango (abs)</t>
        </is>
      </c>
    </row>
    <row r="5">
      <c r="A5" t="inlineStr">
        <is>
          <t>precio</t>
        </is>
      </c>
      <c r="B5">
        <f>'I3 Supuestos'!$B$4</f>
        <v/>
      </c>
      <c r="C5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5">
        <f>IF('I3 Supuestos'!$C$33=0,12*'I3 Supuestos'!$B$33,'I3 Supuestos'!$B$33*((1+'I3 Supuestos'!$C$33)^12-1)/'I3 Supuestos'!$C$33)*(IF('I3 Supuestos'!$B$5=1,(('I3 Supuestos'!$B$4*(1-$B$3))*'I3 Supuestos'!$D$33)/(1+'I3 Supuestos'!$B$6),(('I3 Supuestos'!$B$4*(1-$B$3))*'I3 Supuestos'!$D$33))-('I3 Supuestos'!$B$28+(('I3 Supuestos'!$B$4*(1-$B$3))*'I3 Supuestos'!$D$33)*'I3 Supuestos'!$B$7+'I3 Supuestos'!$B$8+IF('I3 Supuestos'!$B$5=1,(('I3 Supuestos'!$B$4*(1-$B$3))*'I3 Supuestos'!$D$33)/(1+'I3 Supuestos'!$B$6),(('I3 Supuestos'!$B$4*(1-$B$3))*'I3 Supuestos'!$D$33))*'I3 Supuestos'!$B$9))-12*'I3 Supuestos'!$B$23-'I3 Supuestos'!$B$16</f>
        <v/>
      </c>
      <c r="E5">
        <f>IF('I3 Supuestos'!$C$33=0,12*'I3 Supuestos'!$B$33,'I3 Supuestos'!$B$33*((1+'I3 Supuestos'!$C$33)^12-1)/'I3 Supuestos'!$C$33)*(IF('I3 Supuestos'!$B$5=1,(('I3 Supuestos'!$B$4*(1+$B$3))*'I3 Supuestos'!$D$33)/(1+'I3 Supuestos'!$B$6),(('I3 Supuestos'!$B$4*(1+$B$3))*'I3 Supuestos'!$D$33))-('I3 Supuestos'!$B$28+(('I3 Supuestos'!$B$4*(1+$B$3))*'I3 Supuestos'!$D$33)*'I3 Supuestos'!$B$7+'I3 Supuestos'!$B$8+IF('I3 Supuestos'!$B$5=1,(('I3 Supuestos'!$B$4*(1+$B$3))*'I3 Supuestos'!$D$33)/(1+'I3 Supuestos'!$B$6),(('I3 Supuestos'!$B$4*(1+$B$3))*'I3 Supuestos'!$D$33))*'I3 Supuestos'!$B$9))-12*'I3 Supuestos'!$B$23-'I3 Supuestos'!$B$16</f>
        <v/>
      </c>
      <c r="F5">
        <f>ABS(E5-D5)</f>
        <v/>
      </c>
    </row>
    <row r="6">
      <c r="A6" t="inlineStr">
        <is>
          <t>unidades_mes1</t>
        </is>
      </c>
      <c r="B6">
        <f>'I3 Supuestos'!$B$33</f>
        <v/>
      </c>
      <c r="C6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6">
        <f>IF('I3 Supuestos'!$C$33=0,12*('I3 Supuestos'!$B$33*(1-$B$3)),('I3 Supuestos'!$B$33*(1-$B$3))*((1+'I3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E6">
        <f>IF('I3 Supuestos'!$C$33=0,12*('I3 Supuestos'!$B$33*(1+$B$3)),('I3 Supuestos'!$B$33*(1+$B$3))*((1+'I3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F6">
        <f>ABS(E6-D6)</f>
        <v/>
      </c>
    </row>
    <row r="7">
      <c r="A7" t="inlineStr">
        <is>
          <t>crecimiento</t>
        </is>
      </c>
      <c r="B7">
        <f>'I3 Supuestos'!$C$33</f>
        <v/>
      </c>
      <c r="C7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7">
        <f>IF(('I3 Supuestos'!$C$33*(1-$B$3))=0,12*'I3 Supuestos'!$B$33,'I3 Supuestos'!$B$33*((1+('I3 Supuestos'!$C$33*(1-$B$3)))^12-1)/('I3 Supuestos'!$C$33*(1-$B$3)))*(IF('I3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E7">
        <f>IF(('I3 Supuestos'!$C$33*(1+$B$3))=0,12*'I3 Supuestos'!$B$33,'I3 Supuestos'!$B$33*((1+('I3 Supuestos'!$C$33*(1+$B$3)))^12-1)/('I3 Supuestos'!$C$33*(1+$B$3)))*(IF('I3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F7">
        <f>ABS(E7-D7)</f>
        <v/>
      </c>
    </row>
    <row r="8">
      <c r="A8" t="inlineStr">
        <is>
          <t>cv_directo</t>
        </is>
      </c>
      <c r="B8">
        <f>'I3 Supuestos'!$B$28</f>
        <v/>
      </c>
      <c r="C8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8">
        <f>IF('I3 Supuestos'!$C$33=0,12*'I3 Supuestos'!$B$33,'I3 Supuestos'!$B$33*((1+'I3 Supuestos'!$C$33)^12-1)/'I3 Supuestos'!$C$33)*(IF('I3 Supuestos'!$B$5=1,('I3 Supuestos'!$B$4*'I3 Supuestos'!$D$33)/(1+'I3 Supuestos'!$B$6),('I3 Supuestos'!$B$4*'I3 Supuestos'!$D$33))-(('I3 Supuestos'!$B$28*(1-$B$3))+('I3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E8">
        <f>IF('I3 Supuestos'!$C$33=0,12*'I3 Supuestos'!$B$33,'I3 Supuestos'!$B$33*((1+'I3 Supuestos'!$C$33)^12-1)/'I3 Supuestos'!$C$33)*(IF('I3 Supuestos'!$B$5=1,('I3 Supuestos'!$B$4*'I3 Supuestos'!$D$33)/(1+'I3 Supuestos'!$B$6),('I3 Supuestos'!$B$4*'I3 Supuestos'!$D$33))-(('I3 Supuestos'!$B$28*(1+$B$3))+('I3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F8">
        <f>ABS(E8-D8)</f>
        <v/>
      </c>
    </row>
    <row r="9">
      <c r="A9" t="inlineStr">
        <is>
          <t>fijos</t>
        </is>
      </c>
      <c r="B9">
        <f>'I3 Supuestos'!$B$23</f>
        <v/>
      </c>
      <c r="C9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9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Supuestos'!$B$9))-12*('I3 Supuestos'!$B$23*(1-$B$3))-'I3 Supuestos'!$B$16</f>
        <v/>
      </c>
      <c r="E9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Supuestos'!$B$9))-12*('I3 Supuestos'!$B$23*(1+$B$3))-'I3 Supuestos'!$B$16</f>
        <v/>
      </c>
      <c r="F9">
        <f>ABS(E9-D9)</f>
        <v/>
      </c>
    </row>
    <row r="10">
      <c r="A10" t="inlineStr">
        <is>
          <t>inversion</t>
        </is>
      </c>
      <c r="B10">
        <f>'I3 Supuestos'!$B$16</f>
        <v/>
      </c>
      <c r="C10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10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Supuestos'!$B$23-('I3 Supuestos'!$B$16*(1-$B$3))</f>
        <v/>
      </c>
      <c r="E10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Supuestos'!$B$23-('I3 Supuestos'!$B$16*(1+$B$3))</f>
        <v/>
      </c>
      <c r="F10">
        <f>ABS(E10-D10)</f>
        <v/>
      </c>
    </row>
    <row r="11">
      <c r="A11" t="inlineStr">
        <is>
          <t>tasa_pasarela</t>
        </is>
      </c>
      <c r="B11">
        <f>'I3 Supuestos'!$B$7</f>
        <v/>
      </c>
      <c r="C11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11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Supuestos'!$D$33)*('I3 Supuestos'!$B$7*(1-$B$3))+'I3 Supuestos'!$B$8+IF('I3 Supuestos'!$B$5=1,('I3 Supuestos'!$B$4*'I3 Supuestos'!$D$33)/(1+'I3 Supuestos'!$B$6),('I3 Supuestos'!$B$4*'I3 Supuestos'!$D$33))*'I3 Supuestos'!$B$9))-12*'I3 Supuestos'!$B$23-'I3 Supuestos'!$B$16</f>
        <v/>
      </c>
      <c r="E11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Supuestos'!$D$33)*('I3 Supuestos'!$B$7*(1+$B$3))+'I3 Supuestos'!$B$8+IF('I3 Supuestos'!$B$5=1,('I3 Supuestos'!$B$4*'I3 Supuestos'!$D$33)/(1+'I3 Supuestos'!$B$6),('I3 Supuestos'!$B$4*'I3 Supuestos'!$D$33))*'I3 Supuestos'!$B$9))-12*'I3 Supuestos'!$B$23-'I3 Supuestos'!$B$16</f>
        <v/>
      </c>
      <c r="F11">
        <f>ABS(E11-D11)</f>
        <v/>
      </c>
    </row>
    <row r="12">
      <c r="A12" t="inlineStr">
        <is>
          <t>tasa_impuesto_renta</t>
        </is>
      </c>
      <c r="B12">
        <f>'I3 Supuestos'!$B$9</f>
        <v/>
      </c>
      <c r="C12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Supuestos'!$D$33))*'I3 Supuestos'!$B$9))-12*'I3 Supuestos'!$B$23-'I3 Supuestos'!$B$16</f>
        <v/>
      </c>
      <c r="D12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Supuestos'!$D$33))*('I3 Supuestos'!$B$9*(1-$B$3))))-12*'I3 Supuestos'!$B$23-'I3 Supuestos'!$B$16</f>
        <v/>
      </c>
      <c r="E12">
        <f>IF('I3 Supuestos'!$C$33=0,12*'I3 Supuestos'!$B$33,'I3 Supuestos'!$B$33*((1+'I3 Supuestos'!$C$33)^12-1)/'I3 Supuestos'!$C$33)*(IF('I3 Supuestos'!$B$5=1,('I3 Supuestos'!$B$4*'I3 Supuestos'!$D$33)/(1+'I3 Supuestos'!$B$6),('I3 Supuestos'!$B$4*'I3 Supuestos'!$D$33))-('I3 Supuestos'!$B$28+('I3 Supuestos'!$B$4*'I3 Supuestos'!$D$33)*'I3 Supuestos'!$B$7+'I3 Supuestos'!$B$8+IF('I3 Supuestos'!$B$5=1,('I3 Supuestos'!$B$4*'I3 Supuestos'!$D$33)/(1+'I3 Supuestos'!$B$6),('I3 Supuestos'!$B$4*'I3 Supuestos'!$D$33))*('I3 Supuestos'!$B$9*(1+$B$3))))-12*'I3 Supuestos'!$B$23-'I3 Supuestos'!$B$16</f>
        <v/>
      </c>
      <c r="F12">
        <f>ABS(E12-D12)</f>
        <v/>
      </c>
    </row>
    <row r="14">
      <c r="A14" t="inlineStr">
        <is>
          <t>La variable con mayor 'Rango' es la que más mueve el resultado.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E38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6" customWidth="1" min="3" max="3"/>
    <col width="40" customWidth="1" min="4" max="4"/>
    <col width="14" customWidth="1" min="5" max="5"/>
  </cols>
  <sheetData>
    <row r="1">
      <c r="A1" s="2" t="inlineStr">
        <is>
          <t>Idea: 4. Sorpresas y detalles a domicilio (ficha 06)</t>
        </is>
      </c>
    </row>
    <row r="2">
      <c r="A2" t="inlineStr">
        <is>
          <t>Unidad: un pedido (caja de detalle + envío)</t>
        </is>
      </c>
    </row>
    <row r="3">
      <c r="A3" s="2" t="inlineStr">
        <is>
          <t>Concepto</t>
        </is>
      </c>
      <c r="B3" t="inlineStr">
        <is>
          <t>Valor</t>
        </is>
      </c>
      <c r="C3" t="inlineStr">
        <is>
          <t>Origen</t>
        </is>
      </c>
      <c r="D3" t="inlineStr">
        <is>
          <t>Nota</t>
        </is>
      </c>
    </row>
    <row r="4">
      <c r="A4" t="inlineStr">
        <is>
          <t>Precio de venta al cliente (S/)</t>
        </is>
      </c>
      <c r="B4" s="5" t="n">
        <v>80</v>
      </c>
      <c r="C4" t="inlineStr">
        <is>
          <t>SUPUESTO: por validar — S/ 65 por el detalle (ficha 06: S/ 40–90) + S/ 15 de envío cobrado al cliente; precios de Lima DESCONOCIDOS (Mercado Libre Perú HTTP 403); con IGV incluido</t>
        </is>
      </c>
      <c r="D4" t="inlineStr"/>
    </row>
    <row r="5">
      <c r="A5" t="inlineStr">
        <is>
          <t>¿Precio incluye IGV? (1 = sí, 0 = no)</t>
        </is>
      </c>
      <c r="B5" s="5" t="n">
        <v>1</v>
      </c>
      <c r="C5" t="inlineStr">
        <is>
          <t>regla</t>
        </is>
      </c>
      <c r="D5" t="inlineStr"/>
    </row>
    <row r="6">
      <c r="A6" t="inlineStr">
        <is>
          <t>Tasa IGV</t>
        </is>
      </c>
      <c r="B6" s="5" t="n">
        <v>0.18</v>
      </c>
      <c r="C6" t="inlineStr">
        <is>
          <t>VERIFICADO: TUO Ley del IGV (16 %) + IPM (2 %) = 18 %, vigente; sin informe legal aún — confirmar con asesor-legal-tributario-peru</t>
        </is>
      </c>
      <c r="D6" t="inlineStr">
        <is>
          <t>precio al cliente con IGV incluido</t>
        </is>
      </c>
    </row>
    <row r="7">
      <c r="A7" t="inlineStr">
        <is>
          <t>Comisión pasarela (%)</t>
        </is>
      </c>
      <c r="B7" s="5" t="n">
        <v>0</v>
      </c>
      <c r="C7" t="inlineStr">
        <is>
          <t>SUPUESTO: por validar — cobro por Yape/Plin o transferencia entre personas naturales, sin comisión; la variante con Culqi (3,44 % + US$ 0,20) se calcula aparte</t>
        </is>
      </c>
      <c r="D7" t="inlineStr"/>
    </row>
    <row r="8">
      <c r="A8" t="inlineStr">
        <is>
          <t>Comisión pasarela fija por transacción (S/)</t>
        </is>
      </c>
      <c r="B8" s="5" t="n">
        <v>0</v>
      </c>
      <c r="C8" t="inlineStr">
        <is>
          <t>SUPUESTO: por validar — igual que tasa_pasarela</t>
        </is>
      </c>
      <c r="D8" t="inlineStr"/>
    </row>
    <row r="9">
      <c r="A9" t="inlineStr">
        <is>
          <t>Impuesto a la renta (% sobre ingreso neto)</t>
        </is>
      </c>
      <c r="B9" s="5" t="n">
        <v>0.015</v>
      </c>
      <c r="C9" t="inlineStr">
        <is>
          <t>SUPUESTO: por validar — RER (1,5 % de ingresos netos mensuales) como régimen uniforme y conservador para las cinco ideas; permite emitir factura a negocios. Variantes Nuevo RUS y 4.ª categoría se calculan aparte. Lo define el asesor legal en la Etapa 2</t>
        </is>
      </c>
      <c r="D9" t="inlineStr"/>
    </row>
    <row r="10">
      <c r="A10" t="inlineStr">
        <is>
          <t>Horas fijas por semana</t>
        </is>
      </c>
      <c r="B10" s="5" t="n">
        <v>5</v>
      </c>
      <c r="C10" t="inlineStr">
        <is>
          <t>ESTIMADO: contenido en redes, atención por WhatsApp, compras de insumos</t>
        </is>
      </c>
      <c r="D10" t="inlineStr"/>
    </row>
    <row r="11">
      <c r="A11" t="inlineStr">
        <is>
          <t>Horas por unidad vendida</t>
        </is>
      </c>
      <c r="B11" s="5" t="n">
        <v>1.5</v>
      </c>
      <c r="C11" t="inlineStr">
        <is>
          <t>ESTIMADO: armado 1 h + coordinación y entrega al motorizado 0,5 h</t>
        </is>
      </c>
      <c r="D11" t="inlineStr"/>
    </row>
    <row r="13">
      <c r="A13" s="2" t="inlineStr">
        <is>
          <t>Inversión inicial (S/)</t>
        </is>
      </c>
    </row>
    <row r="14">
      <c r="A14" t="inlineStr">
        <is>
          <t>insumos y empaque de 5 unidades de muestra (fotos)</t>
        </is>
      </c>
      <c r="B14" s="5" t="n">
        <v>150</v>
      </c>
      <c r="C14" t="inlineStr">
        <is>
          <t>ESTIMADO: 5 × (insumos S/ 26 + empaque S/ 4); ficha 06: S/ 100–200</t>
        </is>
      </c>
      <c r="D14" t="inlineStr"/>
    </row>
    <row r="15">
      <c r="A15" t="inlineStr">
        <is>
          <t>herramientas (pistola de silicona, tijeras, cúter)</t>
        </is>
      </c>
      <c r="B15" s="5" t="n">
        <v>30</v>
      </c>
      <c r="C15" t="inlineStr">
        <is>
          <t>ESTIMADO: precio de bazar</t>
        </is>
      </c>
      <c r="D15" t="inlineStr"/>
    </row>
    <row r="16">
      <c r="A16" t="inlineStr">
        <is>
          <t>fotos de catálogo</t>
        </is>
      </c>
      <c r="B16" s="5" t="n">
        <v>0</v>
      </c>
      <c r="C16" t="inlineStr">
        <is>
          <t>ESTIMADO: celular propio</t>
        </is>
      </c>
      <c r="D16" t="inlineStr"/>
    </row>
    <row r="17">
      <c r="A17" s="2" t="inlineStr">
        <is>
          <t>TOTAL inversión inicial (s/)</t>
        </is>
      </c>
      <c r="B17">
        <f>SUM(B14:B16)</f>
        <v/>
      </c>
      <c r="C17" t="inlineStr">
        <is>
          <t>fórmula</t>
        </is>
      </c>
      <c r="D17" t="inlineStr"/>
    </row>
    <row r="19">
      <c r="A19" s="2" t="inlineStr">
        <is>
          <t>Costos fijos mensuales (S/)</t>
        </is>
      </c>
    </row>
    <row r="20">
      <c r="A20" t="inlineStr">
        <is>
          <t>promoción mínima en Instagram/TikTok (publicaciones impulsadas)</t>
        </is>
      </c>
      <c r="B20" s="5" t="n">
        <v>50</v>
      </c>
      <c r="C20" t="inlineStr">
        <is>
          <t>SUPUESTO: por validar — sin audiencia previa</t>
        </is>
      </c>
      <c r="D20" t="inlineStr"/>
    </row>
    <row r="21">
      <c r="A21" t="inlineStr">
        <is>
          <t>herramientas (Canva, WhatsApp Business)</t>
        </is>
      </c>
      <c r="B21" s="5" t="n">
        <v>0</v>
      </c>
      <c r="C21" t="inlineStr">
        <is>
          <t>ESTIMADO: gratuitas</t>
        </is>
      </c>
      <c r="D21" t="inlineStr"/>
    </row>
    <row r="22">
      <c r="A22" t="inlineStr">
        <is>
          <t>contabilidad / declaraciones</t>
        </is>
      </c>
      <c r="B22" s="5" t="n">
        <v>0</v>
      </c>
      <c r="C22" t="inlineStr">
        <is>
          <t>SUPUESTO: por validar — declaran ellos mismos en SUNAT Virtual; un contador costaría S/ 50–150/mes</t>
        </is>
      </c>
      <c r="D22" t="inlineStr"/>
    </row>
    <row r="23">
      <c r="A23" s="2" t="inlineStr">
        <is>
          <t>TOTAL costos fijos mensuales (s/)</t>
        </is>
      </c>
      <c r="B23">
        <f>SUM(B20:B22)</f>
        <v/>
      </c>
      <c r="C23" t="inlineStr">
        <is>
          <t>fórmula</t>
        </is>
      </c>
      <c r="D23" t="inlineStr"/>
    </row>
    <row r="25">
      <c r="A25" s="2" t="inlineStr">
        <is>
          <t>Costo variable directo por unidad (S/)</t>
        </is>
      </c>
    </row>
    <row r="26">
      <c r="A26" t="inlineStr">
        <is>
          <t>insumos (caja, dulces/galletas de proveedor, flor o peluche pequeño, tarjeta)</t>
        </is>
      </c>
      <c r="B26" s="5" t="n">
        <v>26</v>
      </c>
      <c r="C26" t="inlineStr">
        <is>
          <t>ESTIMADO: caja 5 + dulces 10 + flor/peluche 8 + tarjeta/globo 3; sin cotización local (S-17)</t>
        </is>
      </c>
      <c r="D26" t="inlineStr"/>
    </row>
    <row r="27">
      <c r="A27" t="inlineStr">
        <is>
          <t>empaque (papel, cinta, relleno)</t>
        </is>
      </c>
      <c r="B27" s="5" t="n">
        <v>4</v>
      </c>
      <c r="C27" t="inlineStr">
        <is>
          <t>ESTIMADO: precio de bazar</t>
        </is>
      </c>
      <c r="D27" t="inlineStr"/>
    </row>
    <row r="28">
      <c r="A28" t="inlineStr">
        <is>
          <t>motorizado en Lima</t>
        </is>
      </c>
      <c r="B28" s="5" t="n">
        <v>15</v>
      </c>
      <c r="C28" t="inlineStr">
        <is>
          <t>ESTIMADO: ficha 06 (S/ 10–20)</t>
        </is>
      </c>
      <c r="D28" t="inlineStr"/>
    </row>
    <row r="29">
      <c r="A29" s="2" t="inlineStr">
        <is>
          <t>TOTAL costo variable directo por unidad (s/)</t>
        </is>
      </c>
      <c r="B29">
        <f>SUM(B26:B28)</f>
        <v/>
      </c>
      <c r="C29" t="inlineStr">
        <is>
          <t>fórmula</t>
        </is>
      </c>
      <c r="D29" t="inlineStr"/>
    </row>
    <row r="31">
      <c r="A31" s="2" t="inlineStr">
        <is>
          <t>Escenarios</t>
        </is>
      </c>
    </row>
    <row r="32">
      <c r="A32" t="inlineStr">
        <is>
          <t>Escenario</t>
        </is>
      </c>
      <c r="B32" t="inlineStr">
        <is>
          <t>Unidades mes 1</t>
        </is>
      </c>
      <c r="C32" t="inlineStr">
        <is>
          <t>Crecimiento mensual</t>
        </is>
      </c>
      <c r="D32" t="inlineStr">
        <is>
          <t>Factor precio</t>
        </is>
      </c>
      <c r="E32" t="inlineStr">
        <is>
          <t>Origen</t>
        </is>
      </c>
    </row>
    <row r="33">
      <c r="A33" t="inlineStr">
        <is>
          <t>pesimista</t>
        </is>
      </c>
      <c r="B33" s="5" t="n">
        <v>3</v>
      </c>
      <c r="C33" s="5" t="n">
        <v>0</v>
      </c>
      <c r="D33" s="5" t="n">
        <v>0.9</v>
      </c>
      <c r="E33" t="inlineStr">
        <is>
          <t>SUPUESTO: por validar — 3 pedidos al mes de conocidos con 10 % de descuento, sin crecimiento: sin ventaja frente a cientos de cuentas de detalles</t>
        </is>
      </c>
    </row>
    <row r="34">
      <c r="A34" t="inlineStr">
        <is>
          <t>base</t>
        </is>
      </c>
      <c r="B34" s="5" t="n">
        <v>8</v>
      </c>
      <c r="C34" s="5" t="n">
        <v>0.1</v>
      </c>
      <c r="D34" s="5" t="n">
        <v>1</v>
      </c>
      <c r="E34" t="inlineStr">
        <is>
          <t>SUPUESTO: por validar — 8 pedidos en el mes 1 (campaña navideña, compañeros y conocidos) y +10 %/mes por redes</t>
        </is>
      </c>
    </row>
    <row r="35">
      <c r="A35" t="inlineStr">
        <is>
          <t>optimista</t>
        </is>
      </c>
      <c r="B35" s="5" t="n">
        <v>15</v>
      </c>
      <c r="C35" s="5" t="n">
        <v>0.15</v>
      </c>
      <c r="D35" s="5" t="n">
        <v>1</v>
      </c>
      <c r="E35" t="inlineStr">
        <is>
          <t>SUPUESTO: por validar — 15 en el mes 1 y +15 %/mes si fotos y reseñas traen clientes nuevos</t>
        </is>
      </c>
    </row>
    <row r="37">
      <c r="A37" t="inlineStr">
        <is>
          <t>Horas/semana requeridas (pico: mes 12 del escenario base)</t>
        </is>
      </c>
      <c r="B37">
        <f>'I4 Supuestos'!$B$10+'I4 Supuestos'!$B$11*'I4 Supuestos'!$B$34*(1+'I4 Supuestos'!$C$34)^(12-1)/(4.333333333333333)</f>
        <v/>
      </c>
      <c r="C37" t="inlineStr">
        <is>
          <t>ESTIMADO: horas fijas/semana + horas por unidad × unidades del mes 12 del escenario base ÷ 4,33 semanas/mes (pico del año 1)</t>
        </is>
      </c>
      <c r="D37" t="inlineStr"/>
    </row>
    <row r="38">
      <c r="A38" t="inlineStr">
        <is>
          <t>Rango del precio por validar (mín – máx)</t>
        </is>
      </c>
      <c r="B38" s="5" t="n">
        <v>55</v>
      </c>
      <c r="C38" s="5" t="n">
        <v>105</v>
      </c>
      <c r="D38" t="inlineStr">
        <is>
          <t>ver hoja Unitario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0" customWidth="1" min="3" max="3"/>
  </cols>
  <sheetData>
    <row r="1">
      <c r="A1" s="2" t="inlineStr">
        <is>
          <t>Economía unitaria — 4. Sorpresas y detalles a domicilio (ficha 06) (precio de lista)</t>
        </is>
      </c>
    </row>
    <row r="2">
      <c r="A2" t="inlineStr">
        <is>
          <t>Concepto</t>
        </is>
      </c>
      <c r="B2" t="inlineStr">
        <is>
          <t>S/</t>
        </is>
      </c>
      <c r="C2" t="inlineStr">
        <is>
          <t>Fórmula</t>
        </is>
      </c>
    </row>
    <row r="3">
      <c r="A3" t="inlineStr">
        <is>
          <t>Precio al cliente</t>
        </is>
      </c>
      <c r="B3">
        <f>'I4 Supuestos'!$B$4</f>
        <v/>
      </c>
      <c r="C3" t="inlineStr">
        <is>
          <t>'='I4 Supuestos'!$B$4</t>
        </is>
      </c>
    </row>
    <row r="4">
      <c r="A4" t="inlineStr">
        <is>
          <t>Ingreso neto (sin IGV)</t>
        </is>
      </c>
      <c r="B4">
        <f>IF('I4 Supuestos'!$B$5=1,'I4 Unitario'!$B$3/(1+'I4 Supuestos'!$B$6),'I4 Unitario'!$B$3)</f>
        <v/>
      </c>
      <c r="C4" t="inlineStr">
        <is>
          <t>'=IF('I4 Supuestos'!$B$5=1,'I4 Unitario'!$B$3/(1+'I4 Supuestos'!$B$6),'I4 Unitario'!$B$3)</t>
        </is>
      </c>
    </row>
    <row r="5">
      <c r="A5" t="inlineStr">
        <is>
          <t>Comisión pasarela</t>
        </is>
      </c>
      <c r="B5">
        <f>'I4 Unitario'!$B$3*'I4 Supuestos'!$B$7+'I4 Supuestos'!$B$8</f>
        <v/>
      </c>
      <c r="C5" t="inlineStr">
        <is>
          <t>'='I4 Unitario'!$B$3*'I4 Supuestos'!$B$7+'I4 Supuestos'!$B$8</t>
        </is>
      </c>
    </row>
    <row r="6">
      <c r="A6" t="inlineStr">
        <is>
          <t>Impuesto a la renta</t>
        </is>
      </c>
      <c r="B6">
        <f>'I4 Unitario'!$B$4*'I4 Supuestos'!$B$9</f>
        <v/>
      </c>
      <c r="C6" t="inlineStr">
        <is>
          <t>'='I4 Unitario'!$B$4*'I4 Supuestos'!$B$9</t>
        </is>
      </c>
    </row>
    <row r="7">
      <c r="A7" t="inlineStr">
        <is>
          <t>Costo variable directo</t>
        </is>
      </c>
      <c r="B7">
        <f>'I4 Supuestos'!$B$29</f>
        <v/>
      </c>
      <c r="C7" t="inlineStr">
        <is>
          <t>'='I4 Supuestos'!$B$29</t>
        </is>
      </c>
    </row>
    <row r="8">
      <c r="A8" t="inlineStr">
        <is>
          <t>Costo variable total</t>
        </is>
      </c>
      <c r="B8">
        <f>'I4 Unitario'!$B$7+'I4 Unitario'!$B$5+'I4 Unitario'!$B$6</f>
        <v/>
      </c>
      <c r="C8" t="inlineStr">
        <is>
          <t>'='I4 Unitario'!$B$7+'I4 Unitario'!$B$5+'I4 Unitario'!$B$6</t>
        </is>
      </c>
    </row>
    <row r="9">
      <c r="A9" t="inlineStr">
        <is>
          <t>Margen por unidad</t>
        </is>
      </c>
      <c r="B9">
        <f>'I4 Unitario'!$B$4-'I4 Unitario'!$B$8</f>
        <v/>
      </c>
      <c r="C9" t="inlineStr">
        <is>
          <t>'='I4 Unitario'!$B$4-'I4 Unitario'!$B$8</t>
        </is>
      </c>
    </row>
    <row r="10">
      <c r="A10" t="inlineStr">
        <is>
          <t>Margen % sobre ingreso neto</t>
        </is>
      </c>
      <c r="B10">
        <f>IF('I4 Unitario'!$B$4=0,0,'I4 Unitario'!$B$9/'I4 Unitario'!$B$4)</f>
        <v/>
      </c>
      <c r="C10" t="inlineStr">
        <is>
          <t>'=IF('I4 Unitario'!$B$4=0,0,'I4 Unitario'!$B$9/'I4 Unitario'!$B$4)</t>
        </is>
      </c>
    </row>
    <row r="11">
      <c r="A11" t="inlineStr">
        <is>
          <t>Costos fijos mensuales</t>
        </is>
      </c>
      <c r="B11">
        <f>'I4 Supuestos'!$B$23</f>
        <v/>
      </c>
      <c r="C11" t="inlineStr">
        <is>
          <t>'='I4 Supuestos'!$B$23</t>
        </is>
      </c>
    </row>
    <row r="12">
      <c r="A12" t="inlineStr">
        <is>
          <t>Punto de equilibrio (unidades/mes)</t>
        </is>
      </c>
      <c r="B12">
        <f>IF('I4 Unitario'!$B$9&gt;0,'I4 Unitario'!$B$11/'I4 Unitario'!$B$9,"no alcanzable")</f>
        <v/>
      </c>
      <c r="C12" t="inlineStr">
        <is>
          <t>'=IF('I4 Unitario'!$B$9&gt;0,'I4 Unitario'!$B$11/'I4 Unitario'!$B$9,"no alcanzable")</t>
        </is>
      </c>
    </row>
    <row r="13">
      <c r="A13" t="inlineStr">
        <is>
          <t>Punto de equilibrio (S/ ventas/mes)</t>
        </is>
      </c>
      <c r="B13">
        <f>IF(ISNUMBER('I4 Unitario'!$B$12),'I4 Unitario'!$B$12*'I4 Unitario'!$B$3,"no alcanzable")</f>
        <v/>
      </c>
      <c r="C13" t="inlineStr">
        <is>
          <t>'=IF(ISNUMBER('I4 Unitario'!$B$12),'I4 Unitario'!$B$12*'I4 Unitario'!$B$3,"no alcanzable")</t>
        </is>
      </c>
    </row>
    <row r="14">
      <c r="A14" t="inlineStr">
        <is>
          <t>Inversión inicial</t>
        </is>
      </c>
      <c r="B14">
        <f>'I4 Supuestos'!$B$17</f>
        <v/>
      </c>
      <c r="C14" t="inlineStr">
        <is>
          <t>'='I4 Supuestos'!$B$17</t>
        </is>
      </c>
    </row>
    <row r="15">
      <c r="A15" t="inlineStr">
        <is>
          <t>F1: inversión ≤ tope</t>
        </is>
      </c>
      <c r="B15">
        <f>IF('I4 Unitario'!$B$14&lt;=Globales!$B$4,"sí","NO")</f>
        <v/>
      </c>
      <c r="C15" t="inlineStr">
        <is>
          <t>'=IF('I4 Unitario'!$B$14&lt;=Globales!$B$4,"sí","NO")</t>
        </is>
      </c>
    </row>
    <row r="16">
      <c r="A16" t="inlineStr">
        <is>
          <t>F1: fijos ≤ tope mensual</t>
        </is>
      </c>
      <c r="B16">
        <f>IF('I4 Unitario'!$B$11&lt;=Globales!$B$5,"sí","NO")</f>
        <v/>
      </c>
      <c r="C16" t="inlineStr">
        <is>
          <t>'=IF('I4 Unitario'!$B$11&lt;=Globales!$B$5,"sí","NO")</t>
        </is>
      </c>
    </row>
    <row r="17">
      <c r="A17" t="inlineStr">
        <is>
          <t>Unidades/mes para cubrir 1 sueldo</t>
        </is>
      </c>
      <c r="B17">
        <f>IF('I4 Unitario'!$B$9&gt;0,('I4 Unitario'!$B$11+Globales!$B$9)/'I4 Unitario'!$B$9,"no alcanzable")</f>
        <v/>
      </c>
      <c r="C17" t="inlineStr">
        <is>
          <t>'=IF('I4 Unitario'!$B$9&gt;0,('I4 Unitario'!$B$11+Globales!$B$9)/'I4 Unitario'!$B$9,"no alcanzable")</t>
        </is>
      </c>
    </row>
    <row r="18">
      <c r="A18" t="inlineStr">
        <is>
          <t>Horas/semana para cubrir 1 sueldo</t>
        </is>
      </c>
      <c r="B18">
        <f>IF(ISNUMBER('I4 Unitario'!$B$17),'I4 Supuestos'!$B$10+'I4 Supuestos'!$B$11*'I4 Unitario'!$B$17/(4.333333333333333),"n/a")</f>
        <v/>
      </c>
      <c r="C18" t="inlineStr">
        <is>
          <t>'=IF(ISNUMBER('I4 Unitario'!$B$17),'I4 Supuestos'!$B$10+'I4 Supuestos'!$B$11*'I4 Unitario'!$B$17/(4.333333333333333),"n/a")</t>
        </is>
      </c>
    </row>
    <row r="19">
      <c r="A19" t="inlineStr">
        <is>
          <t>Unidades/mes para cubrir 2 sueldos</t>
        </is>
      </c>
      <c r="B19">
        <f>IF('I4 Unitario'!$B$9&gt;0,('I4 Unitario'!$B$11+2*Globales!$B$9)/'I4 Unitario'!$B$9,"no alcanzable")</f>
        <v/>
      </c>
      <c r="C19" t="inlineStr">
        <is>
          <t>'=IF('I4 Unitario'!$B$9&gt;0,('I4 Unitario'!$B$11+2*Globales!$B$9)/'I4 Unitario'!$B$9,"no alcanzable")</t>
        </is>
      </c>
    </row>
    <row r="20">
      <c r="A20" t="inlineStr">
        <is>
          <t>Horas/semana para cubrir 2 sueldos</t>
        </is>
      </c>
      <c r="B20">
        <f>IF(ISNUMBER('I4 Unitario'!$B$19),'I4 Supuestos'!$B$10+'I4 Supuestos'!$B$11*'I4 Unitario'!$B$19/(4.333333333333333),"n/a")</f>
        <v/>
      </c>
      <c r="C20" t="inlineStr">
        <is>
          <t>'=IF(ISNUMBER('I4 Unitario'!$B$19),'I4 Supuestos'!$B$10+'I4 Supuestos'!$B$11*'I4 Unitario'!$B$19/(4.333333333333333),"n/a")</t>
        </is>
      </c>
    </row>
    <row r="21"/>
    <row r="22">
      <c r="A22" s="2" t="inlineStr">
        <is>
          <t>Variantes (mismo precio de lista)</t>
        </is>
      </c>
      <c r="B22" t="inlineStr">
        <is>
          <t>Margen/u</t>
        </is>
      </c>
    </row>
    <row r="23">
      <c r="A23" t="inlineStr">
        <is>
          <t>Nuevo RUS cat. 1: sin IGV, sin renta %, +cuota como fijo → margen</t>
        </is>
      </c>
      <c r="B23">
        <f>'I4 Unitario'!$B$3-('I4 Unitario'!$B$7+'I4 Unitario'!$B$5)</f>
        <v/>
      </c>
      <c r="C23" t="inlineStr">
        <is>
          <t>'='I4 Unitario'!$B$3-('I4 Unitario'!$B$7+'I4 Unitario'!$B$5)</t>
        </is>
      </c>
    </row>
    <row r="24">
      <c r="A24" t="inlineStr">
        <is>
          <t>Nuevo RUS: punto de equilibrio (u/mes)</t>
        </is>
      </c>
      <c r="B24">
        <f>IF('I4 Unitario'!$B$23&gt;0,('I4 Unitario'!$B$11+Globales!$B$10)/'I4 Unitario'!$B$23,"no alcanzable")</f>
        <v/>
      </c>
      <c r="C24" t="inlineStr">
        <is>
          <t>'=IF('I4 Unitario'!$B$23&gt;0,('I4 Unitario'!$B$11+Globales!$B$10)/'I4 Unitario'!$B$23,"no alcanzable")</t>
        </is>
      </c>
    </row>
    <row r="25">
      <c r="A25" t="inlineStr">
        <is>
          <t>4.ª categoría: sin IGV, retención 8 % → margen</t>
        </is>
      </c>
      <c r="B25">
        <f>'I4 Unitario'!$B$3-('I4 Unitario'!$B$7+'I4 Unitario'!$B$5+'I4 Unitario'!$B$3*Globales!$B$11)</f>
        <v/>
      </c>
      <c r="C25" t="inlineStr">
        <is>
          <t>'='I4 Unitario'!$B$3-('I4 Unitario'!$B$7+'I4 Unitario'!$B$5+'I4 Unitario'!$B$3*Globales!$B$11)</t>
        </is>
      </c>
    </row>
    <row r="26">
      <c r="A26" t="inlineStr">
        <is>
          <t>RER + pasarela Culqi → margen</t>
        </is>
      </c>
      <c r="B26">
        <f>'I4 Unitario'!$B$4-('I4 Unitario'!$B$7+'I4 Unitario'!$B$3*Globales!$B$12+Globales!$B$13+'I4 Unitario'!$B$6)</f>
        <v/>
      </c>
      <c r="C26" t="inlineStr">
        <is>
          <t>'='I4 Unitario'!$B$4-('I4 Unitario'!$B$7+'I4 Unitario'!$B$3*Globales!$B$12+Globales!$B$13+'I4 Unitario'!$B$6)</t>
        </is>
      </c>
    </row>
    <row r="27">
      <c r="A27" t="inlineStr">
        <is>
          <t>Margen/u con precio mínimo del rango</t>
        </is>
      </c>
      <c r="B27">
        <f>IF('I4 Supuestos'!$B$5=1,'I4 Supuestos'!$B$38/(1+'I4 Supuestos'!$B$6),'I4 Supuestos'!$B$38)-('I4 Unitario'!$B$7+'I4 Supuestos'!$B$38*'I4 Supuestos'!$B$7+'I4 Supuestos'!$B$8+IF('I4 Supuestos'!$B$5=1,'I4 Supuestos'!$B$38/(1+'I4 Supuestos'!$B$6),'I4 Supuestos'!$B$38)*'I4 Supuestos'!$B$9)</f>
        <v/>
      </c>
      <c r="C27" t="inlineStr">
        <is>
          <t>'=IF('I4 Supuestos'!$B$5=1,'I4 Supuestos'!$B$38/(1+'I4 Supuestos'!$B$6),'I4 Supuestos'!$B$38)-('I4 Unitario'!$B$7+'I4 Supuestos'!$B$38*'I4 Supuestos'!$B$7+'I4 Supuestos'!$B$8+IF('I4 Supuestos'!$B$5=1,'I4 Supuestos'!$B$38/(1+'I4 Supuestos'!$B$6),'I4 Supuestos'!$B$38)*'I4 Supuestos'!$B$9)</t>
        </is>
      </c>
    </row>
    <row r="28">
      <c r="A28" t="inlineStr">
        <is>
          <t>Margen/u con precio máximo del rango</t>
        </is>
      </c>
      <c r="B28">
        <f>IF('I4 Supuestos'!$B$5=1,'I4 Supuestos'!$C$38/(1+'I4 Supuestos'!$B$6),'I4 Supuestos'!$C$38)-('I4 Unitario'!$B$7+'I4 Supuestos'!$C$38*'I4 Supuestos'!$B$7+'I4 Supuestos'!$B$8+IF('I4 Supuestos'!$B$5=1,'I4 Supuestos'!$C$38/(1+'I4 Supuestos'!$B$6),'I4 Supuestos'!$C$38)*'I4 Supuestos'!$B$9)</f>
        <v/>
      </c>
      <c r="C28" t="inlineStr">
        <is>
          <t>'=IF('I4 Supuestos'!$B$5=1,'I4 Supuestos'!$C$38/(1+'I4 Supuestos'!$B$6),'I4 Supuestos'!$C$38)-('I4 Unitario'!$B$7+'I4 Supuestos'!$C$38*'I4 Supuestos'!$B$7+'I4 Supuestos'!$B$8+IF('I4 Supuestos'!$B$5=1,'I4 Supuestos'!$C$38/(1+'I4 Supuestos'!$B$6),'I4 Supuestos'!$C$38)*'I4 Supuestos'!$B$9)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Flujo de caja a 12 meses — 4. Sorpresas y detalles a domicilio (ficha 06). Escenarios, no predicciones.</t>
        </is>
      </c>
    </row>
    <row r="3">
      <c r="A3" s="2" t="inlineStr">
        <is>
          <t>Escenario pesimista</t>
        </is>
      </c>
    </row>
    <row r="4">
      <c r="A4" t="inlineStr">
        <is>
          <t>Precio escenario</t>
        </is>
      </c>
      <c r="B4">
        <f>'I4 Supuestos'!$B$4*'I4 Supuestos'!$D$33</f>
        <v/>
      </c>
    </row>
    <row r="5">
      <c r="A5" t="inlineStr">
        <is>
          <t>Ingreso neto unitario</t>
        </is>
      </c>
      <c r="B5">
        <f>IF('I4 Supuestos'!$B$5=1,B4/(1+'I4 Supuestos'!$B$6),B4)</f>
        <v/>
      </c>
    </row>
    <row r="6">
      <c r="A6" t="inlineStr">
        <is>
          <t>Costo variable total unitario</t>
        </is>
      </c>
      <c r="B6">
        <f>'I4 Supuestos'!$B$29+B4*'I4 Supuestos'!$B$7+'I4 Supuestos'!$B$8+B5*'I4 Supuestos'!$B$9</f>
        <v/>
      </c>
    </row>
    <row r="7">
      <c r="A7" t="inlineStr">
        <is>
          <t>Costos fijos mensuales</t>
        </is>
      </c>
      <c r="B7">
        <f>'I4 Supuestos'!$B$23</f>
        <v/>
      </c>
    </row>
    <row r="8">
      <c r="A8" t="inlineStr">
        <is>
          <t>Inversión inicial</t>
        </is>
      </c>
      <c r="B8">
        <f>'I4 Supuestos'!$B$17</f>
        <v/>
      </c>
    </row>
    <row r="9">
      <c r="A9" s="3" t="inlineStr">
        <is>
          <t>Mes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  <c r="I9" s="3" t="n">
        <v>8</v>
      </c>
      <c r="J9" s="3" t="n">
        <v>9</v>
      </c>
      <c r="K9" s="3" t="n">
        <v>10</v>
      </c>
      <c r="L9" s="3" t="n">
        <v>11</v>
      </c>
      <c r="M9" s="3" t="n">
        <v>12</v>
      </c>
      <c r="N9" s="3" t="inlineStr">
        <is>
          <t>Total 12 m</t>
        </is>
      </c>
    </row>
    <row r="10">
      <c r="A10" t="inlineStr">
        <is>
          <t>Unidades</t>
        </is>
      </c>
      <c r="B10">
        <f>'I4 Supuestos'!$B$33*(1+'I4 Supuestos'!$C$33)^(1-1)</f>
        <v/>
      </c>
      <c r="C10">
        <f>'I4 Supuestos'!$B$33*(1+'I4 Supuestos'!$C$33)^(2-1)</f>
        <v/>
      </c>
      <c r="D10">
        <f>'I4 Supuestos'!$B$33*(1+'I4 Supuestos'!$C$33)^(3-1)</f>
        <v/>
      </c>
      <c r="E10">
        <f>'I4 Supuestos'!$B$33*(1+'I4 Supuestos'!$C$33)^(4-1)</f>
        <v/>
      </c>
      <c r="F10">
        <f>'I4 Supuestos'!$B$33*(1+'I4 Supuestos'!$C$33)^(5-1)</f>
        <v/>
      </c>
      <c r="G10">
        <f>'I4 Supuestos'!$B$33*(1+'I4 Supuestos'!$C$33)^(6-1)</f>
        <v/>
      </c>
      <c r="H10">
        <f>'I4 Supuestos'!$B$33*(1+'I4 Supuestos'!$C$33)^(7-1)</f>
        <v/>
      </c>
      <c r="I10">
        <f>'I4 Supuestos'!$B$33*(1+'I4 Supuestos'!$C$33)^(8-1)</f>
        <v/>
      </c>
      <c r="J10">
        <f>'I4 Supuestos'!$B$33*(1+'I4 Supuestos'!$C$33)^(9-1)</f>
        <v/>
      </c>
      <c r="K10">
        <f>'I4 Supuestos'!$B$33*(1+'I4 Supuestos'!$C$33)^(10-1)</f>
        <v/>
      </c>
      <c r="L10">
        <f>'I4 Supuestos'!$B$33*(1+'I4 Supuestos'!$C$33)^(11-1)</f>
        <v/>
      </c>
      <c r="M10">
        <f>'I4 Supuestos'!$B$33*(1+'I4 Supuestos'!$C$33)^(12-1)</f>
        <v/>
      </c>
      <c r="N10">
        <f>SUM(B10:M10)</f>
        <v/>
      </c>
    </row>
    <row r="11">
      <c r="A11" t="inlineStr">
        <is>
          <t>Ingresos netos</t>
        </is>
      </c>
      <c r="B11">
        <f>B10*$B$5</f>
        <v/>
      </c>
      <c r="C11">
        <f>C10*$B$5</f>
        <v/>
      </c>
      <c r="D11">
        <f>D10*$B$5</f>
        <v/>
      </c>
      <c r="E11">
        <f>E10*$B$5</f>
        <v/>
      </c>
      <c r="F11">
        <f>F10*$B$5</f>
        <v/>
      </c>
      <c r="G11">
        <f>G10*$B$5</f>
        <v/>
      </c>
      <c r="H11">
        <f>H10*$B$5</f>
        <v/>
      </c>
      <c r="I11">
        <f>I10*$B$5</f>
        <v/>
      </c>
      <c r="J11">
        <f>J10*$B$5</f>
        <v/>
      </c>
      <c r="K11">
        <f>K10*$B$5</f>
        <v/>
      </c>
      <c r="L11">
        <f>L10*$B$5</f>
        <v/>
      </c>
      <c r="M11">
        <f>M10*$B$5</f>
        <v/>
      </c>
      <c r="N11">
        <f>SUM(B11:M11)</f>
        <v/>
      </c>
    </row>
    <row r="12">
      <c r="A12" t="inlineStr">
        <is>
          <t>Costos variables</t>
        </is>
      </c>
      <c r="B12">
        <f>B10*$B$6</f>
        <v/>
      </c>
      <c r="C12">
        <f>C10*$B$6</f>
        <v/>
      </c>
      <c r="D12">
        <f>D10*$B$6</f>
        <v/>
      </c>
      <c r="E12">
        <f>E10*$B$6</f>
        <v/>
      </c>
      <c r="F12">
        <f>F10*$B$6</f>
        <v/>
      </c>
      <c r="G12">
        <f>G10*$B$6</f>
        <v/>
      </c>
      <c r="H12">
        <f>H10*$B$6</f>
        <v/>
      </c>
      <c r="I12">
        <f>I10*$B$6</f>
        <v/>
      </c>
      <c r="J12">
        <f>J10*$B$6</f>
        <v/>
      </c>
      <c r="K12">
        <f>K10*$B$6</f>
        <v/>
      </c>
      <c r="L12">
        <f>L10*$B$6</f>
        <v/>
      </c>
      <c r="M12">
        <f>M10*$B$6</f>
        <v/>
      </c>
      <c r="N12">
        <f>SUM(B12:M12)</f>
        <v/>
      </c>
    </row>
    <row r="13">
      <c r="A13" t="inlineStr">
        <is>
          <t>Costos fijos</t>
        </is>
      </c>
      <c r="B13">
        <f>$B$7</f>
        <v/>
      </c>
      <c r="C13">
        <f>$B$7</f>
        <v/>
      </c>
      <c r="D13">
        <f>$B$7</f>
        <v/>
      </c>
      <c r="E13">
        <f>$B$7</f>
        <v/>
      </c>
      <c r="F13">
        <f>$B$7</f>
        <v/>
      </c>
      <c r="G13">
        <f>$B$7</f>
        <v/>
      </c>
      <c r="H13">
        <f>$B$7</f>
        <v/>
      </c>
      <c r="I13">
        <f>$B$7</f>
        <v/>
      </c>
      <c r="J13">
        <f>$B$7</f>
        <v/>
      </c>
      <c r="K13">
        <f>$B$7</f>
        <v/>
      </c>
      <c r="L13">
        <f>$B$7</f>
        <v/>
      </c>
      <c r="M13">
        <f>$B$7</f>
        <v/>
      </c>
      <c r="N13">
        <f>SUM(B13:M13)</f>
        <v/>
      </c>
    </row>
    <row r="14">
      <c r="A14" t="inlineStr">
        <is>
          <t>Flujo neto</t>
        </is>
      </c>
      <c r="B14">
        <f>B11-B12-B13</f>
        <v/>
      </c>
      <c r="C14">
        <f>C11-C12-C13</f>
        <v/>
      </c>
      <c r="D14">
        <f>D11-D12-D13</f>
        <v/>
      </c>
      <c r="E14">
        <f>E11-E12-E13</f>
        <v/>
      </c>
      <c r="F14">
        <f>F11-F12-F13</f>
        <v/>
      </c>
      <c r="G14">
        <f>G11-G12-G13</f>
        <v/>
      </c>
      <c r="H14">
        <f>H11-H12-H13</f>
        <v/>
      </c>
      <c r="I14">
        <f>I11-I12-I13</f>
        <v/>
      </c>
      <c r="J14">
        <f>J11-J12-J13</f>
        <v/>
      </c>
      <c r="K14">
        <f>K11-K12-K13</f>
        <v/>
      </c>
      <c r="L14">
        <f>L11-L12-L13</f>
        <v/>
      </c>
      <c r="M14">
        <f>M11-M12-M13</f>
        <v/>
      </c>
      <c r="N14">
        <f>SUM(B14:M14)</f>
        <v/>
      </c>
    </row>
    <row r="15">
      <c r="A15" t="inlineStr">
        <is>
          <t>Acumulado (tras inversión)</t>
        </is>
      </c>
      <c r="B15">
        <f>-$B$8+B14</f>
        <v/>
      </c>
      <c r="C15">
        <f>B15+C14</f>
        <v/>
      </c>
      <c r="D15">
        <f>C15+D14</f>
        <v/>
      </c>
      <c r="E15">
        <f>D15+E14</f>
        <v/>
      </c>
      <c r="F15">
        <f>E15+F14</f>
        <v/>
      </c>
      <c r="G15">
        <f>F15+G14</f>
        <v/>
      </c>
      <c r="H15">
        <f>G15+H14</f>
        <v/>
      </c>
      <c r="I15">
        <f>H15+I14</f>
        <v/>
      </c>
      <c r="J15">
        <f>I15+J14</f>
        <v/>
      </c>
      <c r="K15">
        <f>J15+K14</f>
        <v/>
      </c>
      <c r="L15">
        <f>K15+L14</f>
        <v/>
      </c>
      <c r="M15">
        <f>L15+M14</f>
        <v/>
      </c>
      <c r="N15" s="2">
        <f>M15</f>
        <v/>
      </c>
    </row>
    <row r="16">
      <c r="A16" t="inlineStr">
        <is>
          <t>Mes en que acumulado ≥ 0</t>
        </is>
      </c>
      <c r="B16">
        <f>IF(B15&gt;=0,1,"")</f>
        <v/>
      </c>
      <c r="C16">
        <f>IF(C15&gt;=0,2,"")</f>
        <v/>
      </c>
      <c r="D16">
        <f>IF(D15&gt;=0,3,"")</f>
        <v/>
      </c>
      <c r="E16">
        <f>IF(E15&gt;=0,4,"")</f>
        <v/>
      </c>
      <c r="F16">
        <f>IF(F15&gt;=0,5,"")</f>
        <v/>
      </c>
      <c r="G16">
        <f>IF(G15&gt;=0,6,"")</f>
        <v/>
      </c>
      <c r="H16">
        <f>IF(H15&gt;=0,7,"")</f>
        <v/>
      </c>
      <c r="I16">
        <f>IF(I15&gt;=0,8,"")</f>
        <v/>
      </c>
      <c r="J16">
        <f>IF(J15&gt;=0,9,"")</f>
        <v/>
      </c>
      <c r="K16">
        <f>IF(K15&gt;=0,10,"")</f>
        <v/>
      </c>
      <c r="L16">
        <f>IF(L15&gt;=0,11,"")</f>
        <v/>
      </c>
      <c r="M16">
        <f>IF(M15&gt;=0,12,"")</f>
        <v/>
      </c>
      <c r="N16" s="2">
        <f>IF(COUNT(B16:M16)=0,"no en 12 meses",MIN(B16:M16))</f>
        <v/>
      </c>
    </row>
    <row r="17">
      <c r="A17" t="inlineStr">
        <is>
          <t>Horas/semana</t>
        </is>
      </c>
      <c r="B17">
        <f>'I4 Supuestos'!$B$10+'I4 Supuestos'!$B$11*B10/(4.333333333333333)</f>
        <v/>
      </c>
      <c r="C17">
        <f>'I4 Supuestos'!$B$10+'I4 Supuestos'!$B$11*C10/(4.333333333333333)</f>
        <v/>
      </c>
      <c r="D17">
        <f>'I4 Supuestos'!$B$10+'I4 Supuestos'!$B$11*D10/(4.333333333333333)</f>
        <v/>
      </c>
      <c r="E17">
        <f>'I4 Supuestos'!$B$10+'I4 Supuestos'!$B$11*E10/(4.333333333333333)</f>
        <v/>
      </c>
      <c r="F17">
        <f>'I4 Supuestos'!$B$10+'I4 Supuestos'!$B$11*F10/(4.333333333333333)</f>
        <v/>
      </c>
      <c r="G17">
        <f>'I4 Supuestos'!$B$10+'I4 Supuestos'!$B$11*G10/(4.333333333333333)</f>
        <v/>
      </c>
      <c r="H17">
        <f>'I4 Supuestos'!$B$10+'I4 Supuestos'!$B$11*H10/(4.333333333333333)</f>
        <v/>
      </c>
      <c r="I17">
        <f>'I4 Supuestos'!$B$10+'I4 Supuestos'!$B$11*I10/(4.333333333333333)</f>
        <v/>
      </c>
      <c r="J17">
        <f>'I4 Supuestos'!$B$10+'I4 Supuestos'!$B$11*J10/(4.333333333333333)</f>
        <v/>
      </c>
      <c r="K17">
        <f>'I4 Supuestos'!$B$10+'I4 Supuestos'!$B$11*K10/(4.333333333333333)</f>
        <v/>
      </c>
      <c r="L17">
        <f>'I4 Supuestos'!$B$10+'I4 Supuestos'!$B$11*L10/(4.333333333333333)</f>
        <v/>
      </c>
      <c r="M17">
        <f>'I4 Supuestos'!$B$10+'I4 Supuestos'!$B$11*M10/(4.333333333333333)</f>
        <v/>
      </c>
      <c r="N17" s="2">
        <f>MAX(B17:M17)</f>
        <v/>
      </c>
    </row>
    <row r="18">
      <c r="A18" t="inlineStr">
        <is>
          <t>Capital disponible (inicial + aportes)</t>
        </is>
      </c>
      <c r="B18">
        <f>Globales!$B$2+Globales!$B$3*1</f>
        <v/>
      </c>
      <c r="C18">
        <f>Globales!$B$2+Globales!$B$3*2</f>
        <v/>
      </c>
      <c r="D18">
        <f>Globales!$B$2+Globales!$B$3*3</f>
        <v/>
      </c>
      <c r="E18">
        <f>Globales!$B$2+Globales!$B$3*4</f>
        <v/>
      </c>
      <c r="F18">
        <f>Globales!$B$2+Globales!$B$3*5</f>
        <v/>
      </c>
      <c r="G18">
        <f>Globales!$B$2+Globales!$B$3*6</f>
        <v/>
      </c>
      <c r="H18">
        <f>Globales!$B$2+Globales!$B$3*7</f>
        <v/>
      </c>
      <c r="I18">
        <f>Globales!$B$2+Globales!$B$3*8</f>
        <v/>
      </c>
      <c r="J18">
        <f>Globales!$B$2+Globales!$B$3*9</f>
        <v/>
      </c>
      <c r="K18">
        <f>Globales!$B$2+Globales!$B$3*10</f>
        <v/>
      </c>
      <c r="L18">
        <f>Globales!$B$2+Globales!$B$3*11</f>
        <v/>
      </c>
      <c r="M18">
        <f>Globales!$B$2+Globales!$B$3*12</f>
        <v/>
      </c>
      <c r="N18" s="2">
        <f>IF(SUMPRODUCT(--(-B15:M15&gt;B18:M18))=0,"cabe en el capital","NO cabe")</f>
        <v/>
      </c>
    </row>
    <row r="19">
      <c r="A19" t="inlineStr">
        <is>
          <t>Mes en que flujo neto ≥ 1 sueldo</t>
        </is>
      </c>
      <c r="B19">
        <f>IF(B14&gt;=Globales!$B$9,1,"")</f>
        <v/>
      </c>
      <c r="C19">
        <f>IF(C14&gt;=Globales!$B$9,2,"")</f>
        <v/>
      </c>
      <c r="D19">
        <f>IF(D14&gt;=Globales!$B$9,3,"")</f>
        <v/>
      </c>
      <c r="E19">
        <f>IF(E14&gt;=Globales!$B$9,4,"")</f>
        <v/>
      </c>
      <c r="F19">
        <f>IF(F14&gt;=Globales!$B$9,5,"")</f>
        <v/>
      </c>
      <c r="G19">
        <f>IF(G14&gt;=Globales!$B$9,6,"")</f>
        <v/>
      </c>
      <c r="H19">
        <f>IF(H14&gt;=Globales!$B$9,7,"")</f>
        <v/>
      </c>
      <c r="I19">
        <f>IF(I14&gt;=Globales!$B$9,8,"")</f>
        <v/>
      </c>
      <c r="J19">
        <f>IF(J14&gt;=Globales!$B$9,9,"")</f>
        <v/>
      </c>
      <c r="K19">
        <f>IF(K14&gt;=Globales!$B$9,10,"")</f>
        <v/>
      </c>
      <c r="L19">
        <f>IF(L14&gt;=Globales!$B$9,11,"")</f>
        <v/>
      </c>
      <c r="M19">
        <f>IF(M14&gt;=Globales!$B$9,12,"")</f>
        <v/>
      </c>
      <c r="N19" s="2">
        <f>IF(COUNT(B19:M19)=0,"no en 12 meses",MIN(B19:M19))</f>
        <v/>
      </c>
    </row>
    <row r="21">
      <c r="A21" s="2" t="inlineStr">
        <is>
          <t>Escenario base</t>
        </is>
      </c>
    </row>
    <row r="22">
      <c r="A22" t="inlineStr">
        <is>
          <t>Precio escenario</t>
        </is>
      </c>
      <c r="B22">
        <f>'I4 Supuestos'!$B$4*'I4 Supuestos'!$D$34</f>
        <v/>
      </c>
    </row>
    <row r="23">
      <c r="A23" t="inlineStr">
        <is>
          <t>Ingreso neto unitario</t>
        </is>
      </c>
      <c r="B23">
        <f>IF('I4 Supuestos'!$B$5=1,B22/(1+'I4 Supuestos'!$B$6),B22)</f>
        <v/>
      </c>
    </row>
    <row r="24">
      <c r="A24" t="inlineStr">
        <is>
          <t>Costo variable total unitario</t>
        </is>
      </c>
      <c r="B24">
        <f>'I4 Supuestos'!$B$29+B22*'I4 Supuestos'!$B$7+'I4 Supuestos'!$B$8+B23*'I4 Supuestos'!$B$9</f>
        <v/>
      </c>
    </row>
    <row r="25">
      <c r="A25" t="inlineStr">
        <is>
          <t>Costos fijos mensuales</t>
        </is>
      </c>
      <c r="B25">
        <f>'I4 Supuestos'!$B$23</f>
        <v/>
      </c>
    </row>
    <row r="26">
      <c r="A26" t="inlineStr">
        <is>
          <t>Inversión inicial</t>
        </is>
      </c>
      <c r="B26">
        <f>'I4 Supuestos'!$B$17</f>
        <v/>
      </c>
    </row>
    <row r="27">
      <c r="A27" s="3" t="inlineStr">
        <is>
          <t>Mes</t>
        </is>
      </c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  <c r="H27" s="3" t="n">
        <v>7</v>
      </c>
      <c r="I27" s="3" t="n">
        <v>8</v>
      </c>
      <c r="J27" s="3" t="n">
        <v>9</v>
      </c>
      <c r="K27" s="3" t="n">
        <v>10</v>
      </c>
      <c r="L27" s="3" t="n">
        <v>11</v>
      </c>
      <c r="M27" s="3" t="n">
        <v>12</v>
      </c>
      <c r="N27" s="3" t="inlineStr">
        <is>
          <t>Total 12 m</t>
        </is>
      </c>
    </row>
    <row r="28">
      <c r="A28" t="inlineStr">
        <is>
          <t>Unidades</t>
        </is>
      </c>
      <c r="B28">
        <f>'I4 Supuestos'!$B$34*(1+'I4 Supuestos'!$C$34)^(1-1)</f>
        <v/>
      </c>
      <c r="C28">
        <f>'I4 Supuestos'!$B$34*(1+'I4 Supuestos'!$C$34)^(2-1)</f>
        <v/>
      </c>
      <c r="D28">
        <f>'I4 Supuestos'!$B$34*(1+'I4 Supuestos'!$C$34)^(3-1)</f>
        <v/>
      </c>
      <c r="E28">
        <f>'I4 Supuestos'!$B$34*(1+'I4 Supuestos'!$C$34)^(4-1)</f>
        <v/>
      </c>
      <c r="F28">
        <f>'I4 Supuestos'!$B$34*(1+'I4 Supuestos'!$C$34)^(5-1)</f>
        <v/>
      </c>
      <c r="G28">
        <f>'I4 Supuestos'!$B$34*(1+'I4 Supuestos'!$C$34)^(6-1)</f>
        <v/>
      </c>
      <c r="H28">
        <f>'I4 Supuestos'!$B$34*(1+'I4 Supuestos'!$C$34)^(7-1)</f>
        <v/>
      </c>
      <c r="I28">
        <f>'I4 Supuestos'!$B$34*(1+'I4 Supuestos'!$C$34)^(8-1)</f>
        <v/>
      </c>
      <c r="J28">
        <f>'I4 Supuestos'!$B$34*(1+'I4 Supuestos'!$C$34)^(9-1)</f>
        <v/>
      </c>
      <c r="K28">
        <f>'I4 Supuestos'!$B$34*(1+'I4 Supuestos'!$C$34)^(10-1)</f>
        <v/>
      </c>
      <c r="L28">
        <f>'I4 Supuestos'!$B$34*(1+'I4 Supuestos'!$C$34)^(11-1)</f>
        <v/>
      </c>
      <c r="M28">
        <f>'I4 Supuestos'!$B$34*(1+'I4 Supuestos'!$C$34)^(12-1)</f>
        <v/>
      </c>
      <c r="N28">
        <f>SUM(B28:M28)</f>
        <v/>
      </c>
    </row>
    <row r="29">
      <c r="A29" t="inlineStr">
        <is>
          <t>Ingresos netos</t>
        </is>
      </c>
      <c r="B29">
        <f>B28*$B$23</f>
        <v/>
      </c>
      <c r="C29">
        <f>C28*$B$23</f>
        <v/>
      </c>
      <c r="D29">
        <f>D28*$B$23</f>
        <v/>
      </c>
      <c r="E29">
        <f>E28*$B$23</f>
        <v/>
      </c>
      <c r="F29">
        <f>F28*$B$23</f>
        <v/>
      </c>
      <c r="G29">
        <f>G28*$B$23</f>
        <v/>
      </c>
      <c r="H29">
        <f>H28*$B$23</f>
        <v/>
      </c>
      <c r="I29">
        <f>I28*$B$23</f>
        <v/>
      </c>
      <c r="J29">
        <f>J28*$B$23</f>
        <v/>
      </c>
      <c r="K29">
        <f>K28*$B$23</f>
        <v/>
      </c>
      <c r="L29">
        <f>L28*$B$23</f>
        <v/>
      </c>
      <c r="M29">
        <f>M28*$B$23</f>
        <v/>
      </c>
      <c r="N29">
        <f>SUM(B29:M29)</f>
        <v/>
      </c>
    </row>
    <row r="30">
      <c r="A30" t="inlineStr">
        <is>
          <t>Costos variables</t>
        </is>
      </c>
      <c r="B30">
        <f>B28*$B$24</f>
        <v/>
      </c>
      <c r="C30">
        <f>C28*$B$24</f>
        <v/>
      </c>
      <c r="D30">
        <f>D28*$B$24</f>
        <v/>
      </c>
      <c r="E30">
        <f>E28*$B$24</f>
        <v/>
      </c>
      <c r="F30">
        <f>F28*$B$24</f>
        <v/>
      </c>
      <c r="G30">
        <f>G28*$B$24</f>
        <v/>
      </c>
      <c r="H30">
        <f>H28*$B$24</f>
        <v/>
      </c>
      <c r="I30">
        <f>I28*$B$24</f>
        <v/>
      </c>
      <c r="J30">
        <f>J28*$B$24</f>
        <v/>
      </c>
      <c r="K30">
        <f>K28*$B$24</f>
        <v/>
      </c>
      <c r="L30">
        <f>L28*$B$24</f>
        <v/>
      </c>
      <c r="M30">
        <f>M28*$B$24</f>
        <v/>
      </c>
      <c r="N30">
        <f>SUM(B30:M30)</f>
        <v/>
      </c>
    </row>
    <row r="31">
      <c r="A31" t="inlineStr">
        <is>
          <t>Costos fijos</t>
        </is>
      </c>
      <c r="B31">
        <f>$B$25</f>
        <v/>
      </c>
      <c r="C31">
        <f>$B$25</f>
        <v/>
      </c>
      <c r="D31">
        <f>$B$25</f>
        <v/>
      </c>
      <c r="E31">
        <f>$B$25</f>
        <v/>
      </c>
      <c r="F31">
        <f>$B$25</f>
        <v/>
      </c>
      <c r="G31">
        <f>$B$25</f>
        <v/>
      </c>
      <c r="H31">
        <f>$B$25</f>
        <v/>
      </c>
      <c r="I31">
        <f>$B$25</f>
        <v/>
      </c>
      <c r="J31">
        <f>$B$25</f>
        <v/>
      </c>
      <c r="K31">
        <f>$B$25</f>
        <v/>
      </c>
      <c r="L31">
        <f>$B$25</f>
        <v/>
      </c>
      <c r="M31">
        <f>$B$25</f>
        <v/>
      </c>
      <c r="N31">
        <f>SUM(B31:M31)</f>
        <v/>
      </c>
    </row>
    <row r="32">
      <c r="A32" t="inlineStr">
        <is>
          <t>Flujo neto</t>
        </is>
      </c>
      <c r="B32">
        <f>B29-B30-B31</f>
        <v/>
      </c>
      <c r="C32">
        <f>C29-C30-C31</f>
        <v/>
      </c>
      <c r="D32">
        <f>D29-D30-D31</f>
        <v/>
      </c>
      <c r="E32">
        <f>E29-E30-E31</f>
        <v/>
      </c>
      <c r="F32">
        <f>F29-F30-F31</f>
        <v/>
      </c>
      <c r="G32">
        <f>G29-G30-G31</f>
        <v/>
      </c>
      <c r="H32">
        <f>H29-H30-H31</f>
        <v/>
      </c>
      <c r="I32">
        <f>I29-I30-I31</f>
        <v/>
      </c>
      <c r="J32">
        <f>J29-J30-J31</f>
        <v/>
      </c>
      <c r="K32">
        <f>K29-K30-K31</f>
        <v/>
      </c>
      <c r="L32">
        <f>L29-L30-L31</f>
        <v/>
      </c>
      <c r="M32">
        <f>M29-M30-M31</f>
        <v/>
      </c>
      <c r="N32">
        <f>SUM(B32:M32)</f>
        <v/>
      </c>
    </row>
    <row r="33">
      <c r="A33" t="inlineStr">
        <is>
          <t>Acumulado (tras inversión)</t>
        </is>
      </c>
      <c r="B33">
        <f>-$B$26+B32</f>
        <v/>
      </c>
      <c r="C33">
        <f>B33+C32</f>
        <v/>
      </c>
      <c r="D33">
        <f>C33+D32</f>
        <v/>
      </c>
      <c r="E33">
        <f>D33+E32</f>
        <v/>
      </c>
      <c r="F33">
        <f>E33+F32</f>
        <v/>
      </c>
      <c r="G33">
        <f>F33+G32</f>
        <v/>
      </c>
      <c r="H33">
        <f>G33+H32</f>
        <v/>
      </c>
      <c r="I33">
        <f>H33+I32</f>
        <v/>
      </c>
      <c r="J33">
        <f>I33+J32</f>
        <v/>
      </c>
      <c r="K33">
        <f>J33+K32</f>
        <v/>
      </c>
      <c r="L33">
        <f>K33+L32</f>
        <v/>
      </c>
      <c r="M33">
        <f>L33+M32</f>
        <v/>
      </c>
      <c r="N33" s="2">
        <f>M33</f>
        <v/>
      </c>
    </row>
    <row r="34">
      <c r="A34" t="inlineStr">
        <is>
          <t>Mes en que acumulado ≥ 0</t>
        </is>
      </c>
      <c r="B34">
        <f>IF(B33&gt;=0,1,"")</f>
        <v/>
      </c>
      <c r="C34">
        <f>IF(C33&gt;=0,2,"")</f>
        <v/>
      </c>
      <c r="D34">
        <f>IF(D33&gt;=0,3,"")</f>
        <v/>
      </c>
      <c r="E34">
        <f>IF(E33&gt;=0,4,"")</f>
        <v/>
      </c>
      <c r="F34">
        <f>IF(F33&gt;=0,5,"")</f>
        <v/>
      </c>
      <c r="G34">
        <f>IF(G33&gt;=0,6,"")</f>
        <v/>
      </c>
      <c r="H34">
        <f>IF(H33&gt;=0,7,"")</f>
        <v/>
      </c>
      <c r="I34">
        <f>IF(I33&gt;=0,8,"")</f>
        <v/>
      </c>
      <c r="J34">
        <f>IF(J33&gt;=0,9,"")</f>
        <v/>
      </c>
      <c r="K34">
        <f>IF(K33&gt;=0,10,"")</f>
        <v/>
      </c>
      <c r="L34">
        <f>IF(L33&gt;=0,11,"")</f>
        <v/>
      </c>
      <c r="M34">
        <f>IF(M33&gt;=0,12,"")</f>
        <v/>
      </c>
      <c r="N34" s="2">
        <f>IF(COUNT(B34:M34)=0,"no en 12 meses",MIN(B34:M34))</f>
        <v/>
      </c>
    </row>
    <row r="35">
      <c r="A35" t="inlineStr">
        <is>
          <t>Horas/semana</t>
        </is>
      </c>
      <c r="B35">
        <f>'I4 Supuestos'!$B$10+'I4 Supuestos'!$B$11*B28/(4.333333333333333)</f>
        <v/>
      </c>
      <c r="C35">
        <f>'I4 Supuestos'!$B$10+'I4 Supuestos'!$B$11*C28/(4.333333333333333)</f>
        <v/>
      </c>
      <c r="D35">
        <f>'I4 Supuestos'!$B$10+'I4 Supuestos'!$B$11*D28/(4.333333333333333)</f>
        <v/>
      </c>
      <c r="E35">
        <f>'I4 Supuestos'!$B$10+'I4 Supuestos'!$B$11*E28/(4.333333333333333)</f>
        <v/>
      </c>
      <c r="F35">
        <f>'I4 Supuestos'!$B$10+'I4 Supuestos'!$B$11*F28/(4.333333333333333)</f>
        <v/>
      </c>
      <c r="G35">
        <f>'I4 Supuestos'!$B$10+'I4 Supuestos'!$B$11*G28/(4.333333333333333)</f>
        <v/>
      </c>
      <c r="H35">
        <f>'I4 Supuestos'!$B$10+'I4 Supuestos'!$B$11*H28/(4.333333333333333)</f>
        <v/>
      </c>
      <c r="I35">
        <f>'I4 Supuestos'!$B$10+'I4 Supuestos'!$B$11*I28/(4.333333333333333)</f>
        <v/>
      </c>
      <c r="J35">
        <f>'I4 Supuestos'!$B$10+'I4 Supuestos'!$B$11*J28/(4.333333333333333)</f>
        <v/>
      </c>
      <c r="K35">
        <f>'I4 Supuestos'!$B$10+'I4 Supuestos'!$B$11*K28/(4.333333333333333)</f>
        <v/>
      </c>
      <c r="L35">
        <f>'I4 Supuestos'!$B$10+'I4 Supuestos'!$B$11*L28/(4.333333333333333)</f>
        <v/>
      </c>
      <c r="M35">
        <f>'I4 Supuestos'!$B$10+'I4 Supuestos'!$B$11*M28/(4.333333333333333)</f>
        <v/>
      </c>
      <c r="N35" s="2">
        <f>MAX(B35:M35)</f>
        <v/>
      </c>
    </row>
    <row r="36">
      <c r="A36" t="inlineStr">
        <is>
          <t>Capital disponible (inicial + aportes)</t>
        </is>
      </c>
      <c r="B36">
        <f>Globales!$B$2+Globales!$B$3*1</f>
        <v/>
      </c>
      <c r="C36">
        <f>Globales!$B$2+Globales!$B$3*2</f>
        <v/>
      </c>
      <c r="D36">
        <f>Globales!$B$2+Globales!$B$3*3</f>
        <v/>
      </c>
      <c r="E36">
        <f>Globales!$B$2+Globales!$B$3*4</f>
        <v/>
      </c>
      <c r="F36">
        <f>Globales!$B$2+Globales!$B$3*5</f>
        <v/>
      </c>
      <c r="G36">
        <f>Globales!$B$2+Globales!$B$3*6</f>
        <v/>
      </c>
      <c r="H36">
        <f>Globales!$B$2+Globales!$B$3*7</f>
        <v/>
      </c>
      <c r="I36">
        <f>Globales!$B$2+Globales!$B$3*8</f>
        <v/>
      </c>
      <c r="J36">
        <f>Globales!$B$2+Globales!$B$3*9</f>
        <v/>
      </c>
      <c r="K36">
        <f>Globales!$B$2+Globales!$B$3*10</f>
        <v/>
      </c>
      <c r="L36">
        <f>Globales!$B$2+Globales!$B$3*11</f>
        <v/>
      </c>
      <c r="M36">
        <f>Globales!$B$2+Globales!$B$3*12</f>
        <v/>
      </c>
      <c r="N36" s="2">
        <f>IF(SUMPRODUCT(--(-B33:M33&gt;B36:M36))=0,"cabe en el capital","NO cabe")</f>
        <v/>
      </c>
    </row>
    <row r="37">
      <c r="A37" t="inlineStr">
        <is>
          <t>Mes en que flujo neto ≥ 1 sueldo</t>
        </is>
      </c>
      <c r="B37">
        <f>IF(B32&gt;=Globales!$B$9,1,"")</f>
        <v/>
      </c>
      <c r="C37">
        <f>IF(C32&gt;=Globales!$B$9,2,"")</f>
        <v/>
      </c>
      <c r="D37">
        <f>IF(D32&gt;=Globales!$B$9,3,"")</f>
        <v/>
      </c>
      <c r="E37">
        <f>IF(E32&gt;=Globales!$B$9,4,"")</f>
        <v/>
      </c>
      <c r="F37">
        <f>IF(F32&gt;=Globales!$B$9,5,"")</f>
        <v/>
      </c>
      <c r="G37">
        <f>IF(G32&gt;=Globales!$B$9,6,"")</f>
        <v/>
      </c>
      <c r="H37">
        <f>IF(H32&gt;=Globales!$B$9,7,"")</f>
        <v/>
      </c>
      <c r="I37">
        <f>IF(I32&gt;=Globales!$B$9,8,"")</f>
        <v/>
      </c>
      <c r="J37">
        <f>IF(J32&gt;=Globales!$B$9,9,"")</f>
        <v/>
      </c>
      <c r="K37">
        <f>IF(K32&gt;=Globales!$B$9,10,"")</f>
        <v/>
      </c>
      <c r="L37">
        <f>IF(L32&gt;=Globales!$B$9,11,"")</f>
        <v/>
      </c>
      <c r="M37">
        <f>IF(M32&gt;=Globales!$B$9,12,"")</f>
        <v/>
      </c>
      <c r="N37" s="2">
        <f>IF(COUNT(B37:M37)=0,"no en 12 meses",MIN(B37:M37))</f>
        <v/>
      </c>
    </row>
    <row r="39">
      <c r="A39" s="2" t="inlineStr">
        <is>
          <t>Escenario optimista</t>
        </is>
      </c>
    </row>
    <row r="40">
      <c r="A40" t="inlineStr">
        <is>
          <t>Precio escenario</t>
        </is>
      </c>
      <c r="B40">
        <f>'I4 Supuestos'!$B$4*'I4 Supuestos'!$D$35</f>
        <v/>
      </c>
    </row>
    <row r="41">
      <c r="A41" t="inlineStr">
        <is>
          <t>Ingreso neto unitario</t>
        </is>
      </c>
      <c r="B41">
        <f>IF('I4 Supuestos'!$B$5=1,B40/(1+'I4 Supuestos'!$B$6),B40)</f>
        <v/>
      </c>
    </row>
    <row r="42">
      <c r="A42" t="inlineStr">
        <is>
          <t>Costo variable total unitario</t>
        </is>
      </c>
      <c r="B42">
        <f>'I4 Supuestos'!$B$29+B40*'I4 Supuestos'!$B$7+'I4 Supuestos'!$B$8+B41*'I4 Supuestos'!$B$9</f>
        <v/>
      </c>
    </row>
    <row r="43">
      <c r="A43" t="inlineStr">
        <is>
          <t>Costos fijos mensuales</t>
        </is>
      </c>
      <c r="B43">
        <f>'I4 Supuestos'!$B$23</f>
        <v/>
      </c>
    </row>
    <row r="44">
      <c r="A44" t="inlineStr">
        <is>
          <t>Inversión inicial</t>
        </is>
      </c>
      <c r="B44">
        <f>'I4 Supuestos'!$B$17</f>
        <v/>
      </c>
    </row>
    <row r="45">
      <c r="A45" s="3" t="inlineStr">
        <is>
          <t>Mes</t>
        </is>
      </c>
      <c r="B45" s="3" t="n">
        <v>1</v>
      </c>
      <c r="C45" s="3" t="n">
        <v>2</v>
      </c>
      <c r="D45" s="3" t="n">
        <v>3</v>
      </c>
      <c r="E45" s="3" t="n">
        <v>4</v>
      </c>
      <c r="F45" s="3" t="n">
        <v>5</v>
      </c>
      <c r="G45" s="3" t="n">
        <v>6</v>
      </c>
      <c r="H45" s="3" t="n">
        <v>7</v>
      </c>
      <c r="I45" s="3" t="n">
        <v>8</v>
      </c>
      <c r="J45" s="3" t="n">
        <v>9</v>
      </c>
      <c r="K45" s="3" t="n">
        <v>10</v>
      </c>
      <c r="L45" s="3" t="n">
        <v>11</v>
      </c>
      <c r="M45" s="3" t="n">
        <v>12</v>
      </c>
      <c r="N45" s="3" t="inlineStr">
        <is>
          <t>Total 12 m</t>
        </is>
      </c>
    </row>
    <row r="46">
      <c r="A46" t="inlineStr">
        <is>
          <t>Unidades</t>
        </is>
      </c>
      <c r="B46">
        <f>'I4 Supuestos'!$B$35*(1+'I4 Supuestos'!$C$35)^(1-1)</f>
        <v/>
      </c>
      <c r="C46">
        <f>'I4 Supuestos'!$B$35*(1+'I4 Supuestos'!$C$35)^(2-1)</f>
        <v/>
      </c>
      <c r="D46">
        <f>'I4 Supuestos'!$B$35*(1+'I4 Supuestos'!$C$35)^(3-1)</f>
        <v/>
      </c>
      <c r="E46">
        <f>'I4 Supuestos'!$B$35*(1+'I4 Supuestos'!$C$35)^(4-1)</f>
        <v/>
      </c>
      <c r="F46">
        <f>'I4 Supuestos'!$B$35*(1+'I4 Supuestos'!$C$35)^(5-1)</f>
        <v/>
      </c>
      <c r="G46">
        <f>'I4 Supuestos'!$B$35*(1+'I4 Supuestos'!$C$35)^(6-1)</f>
        <v/>
      </c>
      <c r="H46">
        <f>'I4 Supuestos'!$B$35*(1+'I4 Supuestos'!$C$35)^(7-1)</f>
        <v/>
      </c>
      <c r="I46">
        <f>'I4 Supuestos'!$B$35*(1+'I4 Supuestos'!$C$35)^(8-1)</f>
        <v/>
      </c>
      <c r="J46">
        <f>'I4 Supuestos'!$B$35*(1+'I4 Supuestos'!$C$35)^(9-1)</f>
        <v/>
      </c>
      <c r="K46">
        <f>'I4 Supuestos'!$B$35*(1+'I4 Supuestos'!$C$35)^(10-1)</f>
        <v/>
      </c>
      <c r="L46">
        <f>'I4 Supuestos'!$B$35*(1+'I4 Supuestos'!$C$35)^(11-1)</f>
        <v/>
      </c>
      <c r="M46">
        <f>'I4 Supuestos'!$B$35*(1+'I4 Supuestos'!$C$35)^(12-1)</f>
        <v/>
      </c>
      <c r="N46">
        <f>SUM(B46:M46)</f>
        <v/>
      </c>
    </row>
    <row r="47">
      <c r="A47" t="inlineStr">
        <is>
          <t>Ingresos netos</t>
        </is>
      </c>
      <c r="B47">
        <f>B46*$B$41</f>
        <v/>
      </c>
      <c r="C47">
        <f>C46*$B$41</f>
        <v/>
      </c>
      <c r="D47">
        <f>D46*$B$41</f>
        <v/>
      </c>
      <c r="E47">
        <f>E46*$B$41</f>
        <v/>
      </c>
      <c r="F47">
        <f>F46*$B$41</f>
        <v/>
      </c>
      <c r="G47">
        <f>G46*$B$41</f>
        <v/>
      </c>
      <c r="H47">
        <f>H46*$B$41</f>
        <v/>
      </c>
      <c r="I47">
        <f>I46*$B$41</f>
        <v/>
      </c>
      <c r="J47">
        <f>J46*$B$41</f>
        <v/>
      </c>
      <c r="K47">
        <f>K46*$B$41</f>
        <v/>
      </c>
      <c r="L47">
        <f>L46*$B$41</f>
        <v/>
      </c>
      <c r="M47">
        <f>M46*$B$41</f>
        <v/>
      </c>
      <c r="N47">
        <f>SUM(B47:M47)</f>
        <v/>
      </c>
    </row>
    <row r="48">
      <c r="A48" t="inlineStr">
        <is>
          <t>Costos variables</t>
        </is>
      </c>
      <c r="B48">
        <f>B46*$B$42</f>
        <v/>
      </c>
      <c r="C48">
        <f>C46*$B$42</f>
        <v/>
      </c>
      <c r="D48">
        <f>D46*$B$42</f>
        <v/>
      </c>
      <c r="E48">
        <f>E46*$B$42</f>
        <v/>
      </c>
      <c r="F48">
        <f>F46*$B$42</f>
        <v/>
      </c>
      <c r="G48">
        <f>G46*$B$42</f>
        <v/>
      </c>
      <c r="H48">
        <f>H46*$B$42</f>
        <v/>
      </c>
      <c r="I48">
        <f>I46*$B$42</f>
        <v/>
      </c>
      <c r="J48">
        <f>J46*$B$42</f>
        <v/>
      </c>
      <c r="K48">
        <f>K46*$B$42</f>
        <v/>
      </c>
      <c r="L48">
        <f>L46*$B$42</f>
        <v/>
      </c>
      <c r="M48">
        <f>M46*$B$42</f>
        <v/>
      </c>
      <c r="N48">
        <f>SUM(B48:M48)</f>
        <v/>
      </c>
    </row>
    <row r="49">
      <c r="A49" t="inlineStr">
        <is>
          <t>Costos fijos</t>
        </is>
      </c>
      <c r="B49">
        <f>$B$43</f>
        <v/>
      </c>
      <c r="C49">
        <f>$B$43</f>
        <v/>
      </c>
      <c r="D49">
        <f>$B$43</f>
        <v/>
      </c>
      <c r="E49">
        <f>$B$43</f>
        <v/>
      </c>
      <c r="F49">
        <f>$B$43</f>
        <v/>
      </c>
      <c r="G49">
        <f>$B$43</f>
        <v/>
      </c>
      <c r="H49">
        <f>$B$43</f>
        <v/>
      </c>
      <c r="I49">
        <f>$B$43</f>
        <v/>
      </c>
      <c r="J49">
        <f>$B$43</f>
        <v/>
      </c>
      <c r="K49">
        <f>$B$43</f>
        <v/>
      </c>
      <c r="L49">
        <f>$B$43</f>
        <v/>
      </c>
      <c r="M49">
        <f>$B$43</f>
        <v/>
      </c>
      <c r="N49">
        <f>SUM(B49:M49)</f>
        <v/>
      </c>
    </row>
    <row r="50">
      <c r="A50" t="inlineStr">
        <is>
          <t>Flujo neto</t>
        </is>
      </c>
      <c r="B50">
        <f>B47-B48-B49</f>
        <v/>
      </c>
      <c r="C50">
        <f>C47-C48-C49</f>
        <v/>
      </c>
      <c r="D50">
        <f>D47-D48-D49</f>
        <v/>
      </c>
      <c r="E50">
        <f>E47-E48-E49</f>
        <v/>
      </c>
      <c r="F50">
        <f>F47-F48-F49</f>
        <v/>
      </c>
      <c r="G50">
        <f>G47-G48-G49</f>
        <v/>
      </c>
      <c r="H50">
        <f>H47-H48-H49</f>
        <v/>
      </c>
      <c r="I50">
        <f>I47-I48-I49</f>
        <v/>
      </c>
      <c r="J50">
        <f>J47-J48-J49</f>
        <v/>
      </c>
      <c r="K50">
        <f>K47-K48-K49</f>
        <v/>
      </c>
      <c r="L50">
        <f>L47-L48-L49</f>
        <v/>
      </c>
      <c r="M50">
        <f>M47-M48-M49</f>
        <v/>
      </c>
      <c r="N50">
        <f>SUM(B50:M50)</f>
        <v/>
      </c>
    </row>
    <row r="51">
      <c r="A51" t="inlineStr">
        <is>
          <t>Acumulado (tras inversión)</t>
        </is>
      </c>
      <c r="B51">
        <f>-$B$44+B50</f>
        <v/>
      </c>
      <c r="C51">
        <f>B51+C50</f>
        <v/>
      </c>
      <c r="D51">
        <f>C51+D50</f>
        <v/>
      </c>
      <c r="E51">
        <f>D51+E50</f>
        <v/>
      </c>
      <c r="F51">
        <f>E51+F50</f>
        <v/>
      </c>
      <c r="G51">
        <f>F51+G50</f>
        <v/>
      </c>
      <c r="H51">
        <f>G51+H50</f>
        <v/>
      </c>
      <c r="I51">
        <f>H51+I50</f>
        <v/>
      </c>
      <c r="J51">
        <f>I51+J50</f>
        <v/>
      </c>
      <c r="K51">
        <f>J51+K50</f>
        <v/>
      </c>
      <c r="L51">
        <f>K51+L50</f>
        <v/>
      </c>
      <c r="M51">
        <f>L51+M50</f>
        <v/>
      </c>
      <c r="N51" s="2">
        <f>M51</f>
        <v/>
      </c>
    </row>
    <row r="52">
      <c r="A52" t="inlineStr">
        <is>
          <t>Mes en que acumulado ≥ 0</t>
        </is>
      </c>
      <c r="B52">
        <f>IF(B51&gt;=0,1,"")</f>
        <v/>
      </c>
      <c r="C52">
        <f>IF(C51&gt;=0,2,"")</f>
        <v/>
      </c>
      <c r="D52">
        <f>IF(D51&gt;=0,3,"")</f>
        <v/>
      </c>
      <c r="E52">
        <f>IF(E51&gt;=0,4,"")</f>
        <v/>
      </c>
      <c r="F52">
        <f>IF(F51&gt;=0,5,"")</f>
        <v/>
      </c>
      <c r="G52">
        <f>IF(G51&gt;=0,6,"")</f>
        <v/>
      </c>
      <c r="H52">
        <f>IF(H51&gt;=0,7,"")</f>
        <v/>
      </c>
      <c r="I52">
        <f>IF(I51&gt;=0,8,"")</f>
        <v/>
      </c>
      <c r="J52">
        <f>IF(J51&gt;=0,9,"")</f>
        <v/>
      </c>
      <c r="K52">
        <f>IF(K51&gt;=0,10,"")</f>
        <v/>
      </c>
      <c r="L52">
        <f>IF(L51&gt;=0,11,"")</f>
        <v/>
      </c>
      <c r="M52">
        <f>IF(M51&gt;=0,12,"")</f>
        <v/>
      </c>
      <c r="N52" s="2">
        <f>IF(COUNT(B52:M52)=0,"no en 12 meses",MIN(B52:M52))</f>
        <v/>
      </c>
    </row>
    <row r="53">
      <c r="A53" t="inlineStr">
        <is>
          <t>Horas/semana</t>
        </is>
      </c>
      <c r="B53">
        <f>'I4 Supuestos'!$B$10+'I4 Supuestos'!$B$11*B46/(4.333333333333333)</f>
        <v/>
      </c>
      <c r="C53">
        <f>'I4 Supuestos'!$B$10+'I4 Supuestos'!$B$11*C46/(4.333333333333333)</f>
        <v/>
      </c>
      <c r="D53">
        <f>'I4 Supuestos'!$B$10+'I4 Supuestos'!$B$11*D46/(4.333333333333333)</f>
        <v/>
      </c>
      <c r="E53">
        <f>'I4 Supuestos'!$B$10+'I4 Supuestos'!$B$11*E46/(4.333333333333333)</f>
        <v/>
      </c>
      <c r="F53">
        <f>'I4 Supuestos'!$B$10+'I4 Supuestos'!$B$11*F46/(4.333333333333333)</f>
        <v/>
      </c>
      <c r="G53">
        <f>'I4 Supuestos'!$B$10+'I4 Supuestos'!$B$11*G46/(4.333333333333333)</f>
        <v/>
      </c>
      <c r="H53">
        <f>'I4 Supuestos'!$B$10+'I4 Supuestos'!$B$11*H46/(4.333333333333333)</f>
        <v/>
      </c>
      <c r="I53">
        <f>'I4 Supuestos'!$B$10+'I4 Supuestos'!$B$11*I46/(4.333333333333333)</f>
        <v/>
      </c>
      <c r="J53">
        <f>'I4 Supuestos'!$B$10+'I4 Supuestos'!$B$11*J46/(4.333333333333333)</f>
        <v/>
      </c>
      <c r="K53">
        <f>'I4 Supuestos'!$B$10+'I4 Supuestos'!$B$11*K46/(4.333333333333333)</f>
        <v/>
      </c>
      <c r="L53">
        <f>'I4 Supuestos'!$B$10+'I4 Supuestos'!$B$11*L46/(4.333333333333333)</f>
        <v/>
      </c>
      <c r="M53">
        <f>'I4 Supuestos'!$B$10+'I4 Supuestos'!$B$11*M46/(4.333333333333333)</f>
        <v/>
      </c>
      <c r="N53" s="2">
        <f>MAX(B53:M53)</f>
        <v/>
      </c>
    </row>
    <row r="54">
      <c r="A54" t="inlineStr">
        <is>
          <t>Capital disponible (inicial + aportes)</t>
        </is>
      </c>
      <c r="B54">
        <f>Globales!$B$2+Globales!$B$3*1</f>
        <v/>
      </c>
      <c r="C54">
        <f>Globales!$B$2+Globales!$B$3*2</f>
        <v/>
      </c>
      <c r="D54">
        <f>Globales!$B$2+Globales!$B$3*3</f>
        <v/>
      </c>
      <c r="E54">
        <f>Globales!$B$2+Globales!$B$3*4</f>
        <v/>
      </c>
      <c r="F54">
        <f>Globales!$B$2+Globales!$B$3*5</f>
        <v/>
      </c>
      <c r="G54">
        <f>Globales!$B$2+Globales!$B$3*6</f>
        <v/>
      </c>
      <c r="H54">
        <f>Globales!$B$2+Globales!$B$3*7</f>
        <v/>
      </c>
      <c r="I54">
        <f>Globales!$B$2+Globales!$B$3*8</f>
        <v/>
      </c>
      <c r="J54">
        <f>Globales!$B$2+Globales!$B$3*9</f>
        <v/>
      </c>
      <c r="K54">
        <f>Globales!$B$2+Globales!$B$3*10</f>
        <v/>
      </c>
      <c r="L54">
        <f>Globales!$B$2+Globales!$B$3*11</f>
        <v/>
      </c>
      <c r="M54">
        <f>Globales!$B$2+Globales!$B$3*12</f>
        <v/>
      </c>
      <c r="N54" s="2">
        <f>IF(SUMPRODUCT(--(-B51:M51&gt;B54:M54))=0,"cabe en el capital","NO cabe")</f>
        <v/>
      </c>
    </row>
    <row r="55">
      <c r="A55" t="inlineStr">
        <is>
          <t>Mes en que flujo neto ≥ 1 sueldo</t>
        </is>
      </c>
      <c r="B55">
        <f>IF(B50&gt;=Globales!$B$9,1,"")</f>
        <v/>
      </c>
      <c r="C55">
        <f>IF(C50&gt;=Globales!$B$9,2,"")</f>
        <v/>
      </c>
      <c r="D55">
        <f>IF(D50&gt;=Globales!$B$9,3,"")</f>
        <v/>
      </c>
      <c r="E55">
        <f>IF(E50&gt;=Globales!$B$9,4,"")</f>
        <v/>
      </c>
      <c r="F55">
        <f>IF(F50&gt;=Globales!$B$9,5,"")</f>
        <v/>
      </c>
      <c r="G55">
        <f>IF(G50&gt;=Globales!$B$9,6,"")</f>
        <v/>
      </c>
      <c r="H55">
        <f>IF(H50&gt;=Globales!$B$9,7,"")</f>
        <v/>
      </c>
      <c r="I55">
        <f>IF(I50&gt;=Globales!$B$9,8,"")</f>
        <v/>
      </c>
      <c r="J55">
        <f>IF(J50&gt;=Globales!$B$9,9,"")</f>
        <v/>
      </c>
      <c r="K55">
        <f>IF(K50&gt;=Globales!$B$9,10,"")</f>
        <v/>
      </c>
      <c r="L55">
        <f>IF(L50&gt;=Globales!$B$9,11,"")</f>
        <v/>
      </c>
      <c r="M55">
        <f>IF(M50&gt;=Globales!$B$9,12,"")</f>
        <v/>
      </c>
      <c r="N55" s="2">
        <f>IF(COUNT(B55:M55)=0,"no en 12 meses",MIN(B55:M55))</f>
        <v/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Sensibilidad — 4. Sorpresas y detalles a domicilio (ficha 06) — escenario base, ±20 % una variable a la vez</t>
        </is>
      </c>
    </row>
    <row r="2">
      <c r="A2" t="inlineStr">
        <is>
          <t>Resultado 12 m = Σ unidades × margen unitario − 12 × fijos − inversión; Σ unidades = u1·((1+g)^12−1)/g</t>
        </is>
      </c>
    </row>
    <row r="3">
      <c r="A3" t="inlineStr">
        <is>
          <t>Variación</t>
        </is>
      </c>
      <c r="B3" s="5" t="n">
        <v>0.2</v>
      </c>
    </row>
    <row r="4">
      <c r="A4" s="3" t="inlineStr">
        <is>
          <t>Variable</t>
        </is>
      </c>
      <c r="B4" s="3" t="inlineStr">
        <is>
          <t>Valor base</t>
        </is>
      </c>
      <c r="C4" s="3" t="inlineStr">
        <is>
          <t>Resultado base</t>
        </is>
      </c>
      <c r="D4" s="3" t="inlineStr">
        <is>
          <t>Resultado −var</t>
        </is>
      </c>
      <c r="E4" s="3" t="inlineStr">
        <is>
          <t>Resultado +var</t>
        </is>
      </c>
      <c r="F4" s="3" t="inlineStr">
        <is>
          <t>Rango (abs)</t>
        </is>
      </c>
    </row>
    <row r="5">
      <c r="A5" t="inlineStr">
        <is>
          <t>precio</t>
        </is>
      </c>
      <c r="B5">
        <f>'I4 Supuestos'!$B$4</f>
        <v/>
      </c>
      <c r="C5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5">
        <f>IF('I4 Supuestos'!$C$34=0,12*'I4 Supuestos'!$B$34,'I4 Supuestos'!$B$34*((1+'I4 Supuestos'!$C$34)^12-1)/'I4 Supuestos'!$C$34)*(IF('I4 Supuestos'!$B$5=1,(('I4 Supuestos'!$B$4*(1-$B$3))*'I4 Supuestos'!$D$34)/(1+'I4 Supuestos'!$B$6),(('I4 Supuestos'!$B$4*(1-$B$3))*'I4 Supuestos'!$D$34))-('I4 Supuestos'!$B$29+(('I4 Supuestos'!$B$4*(1-$B$3))*'I4 Supuestos'!$D$34)*'I4 Supuestos'!$B$7+'I4 Supuestos'!$B$8+IF('I4 Supuestos'!$B$5=1,(('I4 Supuestos'!$B$4*(1-$B$3))*'I4 Supuestos'!$D$34)/(1+'I4 Supuestos'!$B$6),(('I4 Supuestos'!$B$4*(1-$B$3))*'I4 Supuestos'!$D$34))*'I4 Supuestos'!$B$9))-12*'I4 Supuestos'!$B$23-'I4 Supuestos'!$B$17</f>
        <v/>
      </c>
      <c r="E5">
        <f>IF('I4 Supuestos'!$C$34=0,12*'I4 Supuestos'!$B$34,'I4 Supuestos'!$B$34*((1+'I4 Supuestos'!$C$34)^12-1)/'I4 Supuestos'!$C$34)*(IF('I4 Supuestos'!$B$5=1,(('I4 Supuestos'!$B$4*(1+$B$3))*'I4 Supuestos'!$D$34)/(1+'I4 Supuestos'!$B$6),(('I4 Supuestos'!$B$4*(1+$B$3))*'I4 Supuestos'!$D$34))-('I4 Supuestos'!$B$29+(('I4 Supuestos'!$B$4*(1+$B$3))*'I4 Supuestos'!$D$34)*'I4 Supuestos'!$B$7+'I4 Supuestos'!$B$8+IF('I4 Supuestos'!$B$5=1,(('I4 Supuestos'!$B$4*(1+$B$3))*'I4 Supuestos'!$D$34)/(1+'I4 Supuestos'!$B$6),(('I4 Supuestos'!$B$4*(1+$B$3))*'I4 Supuestos'!$D$34))*'I4 Supuestos'!$B$9))-12*'I4 Supuestos'!$B$23-'I4 Supuestos'!$B$17</f>
        <v/>
      </c>
      <c r="F5">
        <f>ABS(E5-D5)</f>
        <v/>
      </c>
    </row>
    <row r="6">
      <c r="A6" t="inlineStr">
        <is>
          <t>unidades_mes1</t>
        </is>
      </c>
      <c r="B6">
        <f>'I4 Supuestos'!$B$34</f>
        <v/>
      </c>
      <c r="C6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6">
        <f>IF('I4 Supuestos'!$C$34=0,12*('I4 Supuestos'!$B$34*(1-$B$3)),('I4 Supuestos'!$B$34*(1-$B$3))*((1+'I4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E6">
        <f>IF('I4 Supuestos'!$C$34=0,12*('I4 Supuestos'!$B$34*(1+$B$3)),('I4 Supuestos'!$B$34*(1+$B$3))*((1+'I4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F6">
        <f>ABS(E6-D6)</f>
        <v/>
      </c>
    </row>
    <row r="7">
      <c r="A7" t="inlineStr">
        <is>
          <t>crecimiento</t>
        </is>
      </c>
      <c r="B7">
        <f>'I4 Supuestos'!$C$34</f>
        <v/>
      </c>
      <c r="C7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7">
        <f>IF(('I4 Supuestos'!$C$34*(1-$B$3))=0,12*'I4 Supuestos'!$B$34,'I4 Supuestos'!$B$34*((1+('I4 Supuestos'!$C$34*(1-$B$3)))^12-1)/('I4 Supuestos'!$C$34*(1-$B$3)))*(IF('I4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E7">
        <f>IF(('I4 Supuestos'!$C$34*(1+$B$3))=0,12*'I4 Supuestos'!$B$34,'I4 Supuestos'!$B$34*((1+('I4 Supuestos'!$C$34*(1+$B$3)))^12-1)/('I4 Supuestos'!$C$34*(1+$B$3)))*(IF('I4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F7">
        <f>ABS(E7-D7)</f>
        <v/>
      </c>
    </row>
    <row r="8">
      <c r="A8" t="inlineStr">
        <is>
          <t>cv_directo</t>
        </is>
      </c>
      <c r="B8">
        <f>'I4 Supuestos'!$B$29</f>
        <v/>
      </c>
      <c r="C8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8">
        <f>IF('I4 Supuestos'!$C$34=0,12*'I4 Supuestos'!$B$34,'I4 Supuestos'!$B$34*((1+'I4 Supuestos'!$C$34)^12-1)/'I4 Supuestos'!$C$34)*(IF('I4 Supuestos'!$B$5=1,('I4 Supuestos'!$B$4*'I4 Supuestos'!$D$34)/(1+'I4 Supuestos'!$B$6),('I4 Supuestos'!$B$4*'I4 Supuestos'!$D$34))-(('I4 Supuestos'!$B$29*(1-$B$3))+('I4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E8">
        <f>IF('I4 Supuestos'!$C$34=0,12*'I4 Supuestos'!$B$34,'I4 Supuestos'!$B$34*((1+'I4 Supuestos'!$C$34)^12-1)/'I4 Supuestos'!$C$34)*(IF('I4 Supuestos'!$B$5=1,('I4 Supuestos'!$B$4*'I4 Supuestos'!$D$34)/(1+'I4 Supuestos'!$B$6),('I4 Supuestos'!$B$4*'I4 Supuestos'!$D$34))-(('I4 Supuestos'!$B$29*(1+$B$3))+('I4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F8">
        <f>ABS(E8-D8)</f>
        <v/>
      </c>
    </row>
    <row r="9">
      <c r="A9" t="inlineStr">
        <is>
          <t>fijos</t>
        </is>
      </c>
      <c r="B9">
        <f>'I4 Supuestos'!$B$23</f>
        <v/>
      </c>
      <c r="C9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9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Supuestos'!$B$9))-12*('I4 Supuestos'!$B$23*(1-$B$3))-'I4 Supuestos'!$B$17</f>
        <v/>
      </c>
      <c r="E9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Supuestos'!$B$9))-12*('I4 Supuestos'!$B$23*(1+$B$3))-'I4 Supuestos'!$B$17</f>
        <v/>
      </c>
      <c r="F9">
        <f>ABS(E9-D9)</f>
        <v/>
      </c>
    </row>
    <row r="10">
      <c r="A10" t="inlineStr">
        <is>
          <t>inversion</t>
        </is>
      </c>
      <c r="B10">
        <f>'I4 Supuestos'!$B$17</f>
        <v/>
      </c>
      <c r="C10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10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Supuestos'!$B$23-('I4 Supuestos'!$B$17*(1-$B$3))</f>
        <v/>
      </c>
      <c r="E10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Supuestos'!$B$23-('I4 Supuestos'!$B$17*(1+$B$3))</f>
        <v/>
      </c>
      <c r="F10">
        <f>ABS(E10-D10)</f>
        <v/>
      </c>
    </row>
    <row r="11">
      <c r="A11" t="inlineStr">
        <is>
          <t>tasa_pasarela</t>
        </is>
      </c>
      <c r="B11">
        <f>'I4 Supuestos'!$B$7</f>
        <v/>
      </c>
      <c r="C11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11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Supuestos'!$D$34)*('I4 Supuestos'!$B$7*(1-$B$3))+'I4 Supuestos'!$B$8+IF('I4 Supuestos'!$B$5=1,('I4 Supuestos'!$B$4*'I4 Supuestos'!$D$34)/(1+'I4 Supuestos'!$B$6),('I4 Supuestos'!$B$4*'I4 Supuestos'!$D$34))*'I4 Supuestos'!$B$9))-12*'I4 Supuestos'!$B$23-'I4 Supuestos'!$B$17</f>
        <v/>
      </c>
      <c r="E11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Supuestos'!$D$34)*('I4 Supuestos'!$B$7*(1+$B$3))+'I4 Supuestos'!$B$8+IF('I4 Supuestos'!$B$5=1,('I4 Supuestos'!$B$4*'I4 Supuestos'!$D$34)/(1+'I4 Supuestos'!$B$6),('I4 Supuestos'!$B$4*'I4 Supuestos'!$D$34))*'I4 Supuestos'!$B$9))-12*'I4 Supuestos'!$B$23-'I4 Supuestos'!$B$17</f>
        <v/>
      </c>
      <c r="F11">
        <f>ABS(E11-D11)</f>
        <v/>
      </c>
    </row>
    <row r="12">
      <c r="A12" t="inlineStr">
        <is>
          <t>tasa_impuesto_renta</t>
        </is>
      </c>
      <c r="B12">
        <f>'I4 Supuestos'!$B$9</f>
        <v/>
      </c>
      <c r="C12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Supuestos'!$D$34))*'I4 Supuestos'!$B$9))-12*'I4 Supuestos'!$B$23-'I4 Supuestos'!$B$17</f>
        <v/>
      </c>
      <c r="D12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Supuestos'!$D$34))*('I4 Supuestos'!$B$9*(1-$B$3))))-12*'I4 Supuestos'!$B$23-'I4 Supuestos'!$B$17</f>
        <v/>
      </c>
      <c r="E12">
        <f>IF('I4 Supuestos'!$C$34=0,12*'I4 Supuestos'!$B$34,'I4 Supuestos'!$B$34*((1+'I4 Supuestos'!$C$34)^12-1)/'I4 Supuestos'!$C$34)*(IF('I4 Supuestos'!$B$5=1,('I4 Supuestos'!$B$4*'I4 Supuestos'!$D$34)/(1+'I4 Supuestos'!$B$6),('I4 Supuestos'!$B$4*'I4 Supuestos'!$D$34))-('I4 Supuestos'!$B$29+('I4 Supuestos'!$B$4*'I4 Supuestos'!$D$34)*'I4 Supuestos'!$B$7+'I4 Supuestos'!$B$8+IF('I4 Supuestos'!$B$5=1,('I4 Supuestos'!$B$4*'I4 Supuestos'!$D$34)/(1+'I4 Supuestos'!$B$6),('I4 Supuestos'!$B$4*'I4 Supuestos'!$D$34))*('I4 Supuestos'!$B$9*(1+$B$3))))-12*'I4 Supuestos'!$B$23-'I4 Supuestos'!$B$17</f>
        <v/>
      </c>
      <c r="F12">
        <f>ABS(E12-D12)</f>
        <v/>
      </c>
    </row>
    <row r="14">
      <c r="A14" t="inlineStr">
        <is>
          <t>La variable con mayor 'Rango' es la que más mueve el resultado.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E40"/>
  <sheetViews>
    <sheetView workbookViewId="0">
      <selection activeCell="A1" sqref="A1"/>
    </sheetView>
  </sheetViews>
  <sheetFormatPr baseColWidth="8" defaultRowHeight="15"/>
  <cols>
    <col width="60" customWidth="1" min="1" max="1"/>
    <col width="14" customWidth="1" min="2" max="2"/>
    <col width="36" customWidth="1" min="3" max="3"/>
    <col width="40" customWidth="1" min="4" max="4"/>
    <col width="14" customWidth="1" min="5" max="5"/>
  </cols>
  <sheetData>
    <row r="1">
      <c r="A1" s="2" t="inlineStr">
        <is>
          <t>Idea: 5. Decoración para eventos pequeños (ficha 05)</t>
        </is>
      </c>
    </row>
    <row r="2">
      <c r="A2" t="inlineStr">
        <is>
          <t>Unidad: un evento (arco de globos + fondo sencillo)</t>
        </is>
      </c>
    </row>
    <row r="3">
      <c r="A3" s="2" t="inlineStr">
        <is>
          <t>Concepto</t>
        </is>
      </c>
      <c r="B3" t="inlineStr">
        <is>
          <t>Valor</t>
        </is>
      </c>
      <c r="C3" t="inlineStr">
        <is>
          <t>Origen</t>
        </is>
      </c>
      <c r="D3" t="inlineStr">
        <is>
          <t>Nota</t>
        </is>
      </c>
    </row>
    <row r="4">
      <c r="A4" t="inlineStr">
        <is>
          <t>Precio de venta al cliente (S/)</t>
        </is>
      </c>
      <c r="B4" s="5" t="n">
        <v>250</v>
      </c>
      <c r="C4" t="inlineStr">
        <is>
          <t>SUPUESTO: por validar — arco de globos + fondo sencillo en Lima Norte; precios locales DESCONOCIDOS (ficha 05); rango S/ 150–400; con IGV incluido</t>
        </is>
      </c>
      <c r="D4" t="inlineStr"/>
    </row>
    <row r="5">
      <c r="A5" t="inlineStr">
        <is>
          <t>¿Precio incluye IGV? (1 = sí, 0 = no)</t>
        </is>
      </c>
      <c r="B5" s="5" t="n">
        <v>1</v>
      </c>
      <c r="C5" t="inlineStr">
        <is>
          <t>regla</t>
        </is>
      </c>
      <c r="D5" t="inlineStr"/>
    </row>
    <row r="6">
      <c r="A6" t="inlineStr">
        <is>
          <t>Tasa IGV</t>
        </is>
      </c>
      <c r="B6" s="5" t="n">
        <v>0.18</v>
      </c>
      <c r="C6" t="inlineStr">
        <is>
          <t>VERIFICADO: TUO Ley del IGV (16 %) + IPM (2 %) = 18 %, vigente; sin informe legal aún — confirmar con asesor-legal-tributario-peru</t>
        </is>
      </c>
      <c r="D6" t="inlineStr">
        <is>
          <t>precio al cliente con IGV incluido</t>
        </is>
      </c>
    </row>
    <row r="7">
      <c r="A7" t="inlineStr">
        <is>
          <t>Comisión pasarela (%)</t>
        </is>
      </c>
      <c r="B7" s="5" t="n">
        <v>0</v>
      </c>
      <c r="C7" t="inlineStr">
        <is>
          <t>SUPUESTO: por validar — cobro por Yape/Plin o transferencia entre personas naturales, sin comisión; la variante con Culqi (3,44 % + US$ 0,20) se calcula aparte</t>
        </is>
      </c>
      <c r="D7" t="inlineStr"/>
    </row>
    <row r="8">
      <c r="A8" t="inlineStr">
        <is>
          <t>Comisión pasarela fija por transacción (S/)</t>
        </is>
      </c>
      <c r="B8" s="5" t="n">
        <v>0</v>
      </c>
      <c r="C8" t="inlineStr">
        <is>
          <t>SUPUESTO: por validar — igual que tasa_pasarela</t>
        </is>
      </c>
      <c r="D8" t="inlineStr"/>
    </row>
    <row r="9">
      <c r="A9" t="inlineStr">
        <is>
          <t>Impuesto a la renta (% sobre ingreso neto)</t>
        </is>
      </c>
      <c r="B9" s="5" t="n">
        <v>0.015</v>
      </c>
      <c r="C9" t="inlineStr">
        <is>
          <t>SUPUESTO: por validar — RER (1,5 % de ingresos netos mensuales) como régimen uniforme y conservador para las cinco ideas; permite emitir factura a negocios. Variantes Nuevo RUS y 4.ª categoría se calculan aparte. Lo define el asesor legal en la Etapa 2</t>
        </is>
      </c>
      <c r="D9" t="inlineStr"/>
    </row>
    <row r="10">
      <c r="A10" t="inlineStr">
        <is>
          <t>Horas fijas por semana</t>
        </is>
      </c>
      <c r="B10" s="5" t="n">
        <v>4</v>
      </c>
      <c r="C10" t="inlineStr">
        <is>
          <t>ESTIMADO: cotizaciones por WhatsApp, contenido, compras</t>
        </is>
      </c>
      <c r="D10" t="inlineStr"/>
    </row>
    <row r="11">
      <c r="A11" t="inlineStr">
        <is>
          <t>Horas por unidad vendida</t>
        </is>
      </c>
      <c r="B11" s="5" t="n">
        <v>10</v>
      </c>
      <c r="C11" t="inlineStr">
        <is>
          <t>ESTIMADO: ficha 05: armado previo 3–4 h + montaje 2–3 h entre dos personas + desmontaje 1 h + coordinación 1 h ≈ 10 horas-persona</t>
        </is>
      </c>
      <c r="D11" t="inlineStr"/>
    </row>
    <row r="13">
      <c r="A13" s="2" t="inlineStr">
        <is>
          <t>Inversión inicial (S/)</t>
        </is>
      </c>
    </row>
    <row r="14">
      <c r="A14" t="inlineStr">
        <is>
          <t>estructura de arco / soporte de fondo (reutilizable)</t>
        </is>
      </c>
      <c r="B14" s="5" t="n">
        <v>115</v>
      </c>
      <c r="C14" t="inlineStr">
        <is>
          <t>ESTIMADO: ficha 05 (S/ 80–150)</t>
        </is>
      </c>
      <c r="D14" t="inlineStr"/>
    </row>
    <row r="15">
      <c r="A15" t="inlineStr">
        <is>
          <t>inflador eléctrico (reutilizable)</t>
        </is>
      </c>
      <c r="B15" s="5" t="n">
        <v>80</v>
      </c>
      <c r="C15" t="inlineStr">
        <is>
          <t>ESTIMADO: ficha 05 (S/ 60–100)</t>
        </is>
      </c>
      <c r="D15" t="inlineStr"/>
    </row>
    <row r="16">
      <c r="A16" t="inlineStr">
        <is>
          <t>telas y fondo (reutilizables)</t>
        </is>
      </c>
      <c r="B16" s="5" t="n">
        <v>60</v>
      </c>
      <c r="C16" t="inlineStr">
        <is>
          <t>ESTIMADO: ficha 05 (globos y telas iniciales S/ 100–150, parte reutilizable)</t>
        </is>
      </c>
      <c r="D16" t="inlineStr"/>
    </row>
    <row r="17">
      <c r="A17" t="inlineStr">
        <is>
          <t>herramientas (pistola de silicona, cinta, ganchos, nylon)</t>
        </is>
      </c>
      <c r="B17" s="5" t="n">
        <v>30</v>
      </c>
      <c r="C17" t="inlineStr">
        <is>
          <t>ESTIMADO: precio de bazar</t>
        </is>
      </c>
      <c r="D17" t="inlineStr"/>
    </row>
    <row r="18">
      <c r="A18" t="inlineStr">
        <is>
          <t>globos de 2 montajes propios para fotos (portafolio)</t>
        </is>
      </c>
      <c r="B18" s="5" t="n">
        <v>60</v>
      </c>
      <c r="C18" t="inlineStr">
        <is>
          <t>ESTIMADO: 2 × S/ 30 en globos, sin transporte</t>
        </is>
      </c>
      <c r="D18" t="inlineStr"/>
    </row>
    <row r="19">
      <c r="A19" s="2" t="inlineStr">
        <is>
          <t>TOTAL inversión inicial (s/)</t>
        </is>
      </c>
      <c r="B19">
        <f>SUM(B14:B18)</f>
        <v/>
      </c>
      <c r="C19" t="inlineStr">
        <is>
          <t>fórmula</t>
        </is>
      </c>
      <c r="D19" t="inlineStr"/>
    </row>
    <row r="21">
      <c r="A21" s="2" t="inlineStr">
        <is>
          <t>Costos fijos mensuales (S/)</t>
        </is>
      </c>
    </row>
    <row r="22">
      <c r="A22" t="inlineStr">
        <is>
          <t>promoción mínima en Instagram/Facebook</t>
        </is>
      </c>
      <c r="B22" s="5" t="n">
        <v>40</v>
      </c>
      <c r="C22" t="inlineStr">
        <is>
          <t>SUPUESTO: por validar — sin portafolio ni audiencia</t>
        </is>
      </c>
      <c r="D22" t="inlineStr"/>
    </row>
    <row r="23">
      <c r="A23" t="inlineStr">
        <is>
          <t>almacenamiento de estructuras</t>
        </is>
      </c>
      <c r="B23" s="5" t="n">
        <v>0</v>
      </c>
      <c r="C23" t="inlineStr">
        <is>
          <t>ESTIMADO: en casa (pregunta abierta de la ficha 05)</t>
        </is>
      </c>
      <c r="D23" t="inlineStr"/>
    </row>
    <row r="24">
      <c r="A24" t="inlineStr">
        <is>
          <t>contabilidad / declaraciones</t>
        </is>
      </c>
      <c r="B24" s="5" t="n">
        <v>0</v>
      </c>
      <c r="C24" t="inlineStr">
        <is>
          <t>SUPUESTO: por validar — declaran ellos mismos en SUNAT Virtual; un contador costaría S/ 50–150/mes</t>
        </is>
      </c>
      <c r="D24" t="inlineStr"/>
    </row>
    <row r="25">
      <c r="A25" s="2" t="inlineStr">
        <is>
          <t>TOTAL costos fijos mensuales (s/)</t>
        </is>
      </c>
      <c r="B25">
        <f>SUM(B22:B24)</f>
        <v/>
      </c>
      <c r="C25" t="inlineStr">
        <is>
          <t>fórmula</t>
        </is>
      </c>
      <c r="D25" t="inlineStr"/>
    </row>
    <row r="27">
      <c r="A27" s="2" t="inlineStr">
        <is>
          <t>Costo variable directo por unidad (S/)</t>
        </is>
      </c>
    </row>
    <row r="28">
      <c r="A28" t="inlineStr">
        <is>
          <t>globos (100–150 unidades) y consumibles</t>
        </is>
      </c>
      <c r="B28" s="5" t="n">
        <v>60</v>
      </c>
      <c r="C28" t="inlineStr">
        <is>
          <t>ESTIMADO: sin cotización local (S-17)</t>
        </is>
      </c>
      <c r="D28" t="inlineStr"/>
    </row>
    <row r="29">
      <c r="A29" t="inlineStr">
        <is>
          <t>extras (flores de papel, letreros, cinta)</t>
        </is>
      </c>
      <c r="B29" s="5" t="n">
        <v>20</v>
      </c>
      <c r="C29" t="inlineStr">
        <is>
          <t>ESTIMADO: sin cotización local</t>
        </is>
      </c>
      <c r="D29" t="inlineStr"/>
    </row>
    <row r="30">
      <c r="A30" t="inlineStr">
        <is>
          <t>transporte de material ida y vuelta (taxi/flete; sin auto)</t>
        </is>
      </c>
      <c r="B30" s="5" t="n">
        <v>40</v>
      </c>
      <c r="C30" t="inlineStr">
        <is>
          <t>ESTIMADO: 2 × S/ 20 en Lima Norte; ficha 05: el flete entra en el costo</t>
        </is>
      </c>
      <c r="D30" t="inlineStr"/>
    </row>
    <row r="31">
      <c r="A31" s="2" t="inlineStr">
        <is>
          <t>TOTAL costo variable directo por unidad (s/)</t>
        </is>
      </c>
      <c r="B31">
        <f>SUM(B28:B30)</f>
        <v/>
      </c>
      <c r="C31" t="inlineStr">
        <is>
          <t>fórmula</t>
        </is>
      </c>
      <c r="D31" t="inlineStr"/>
    </row>
    <row r="33">
      <c r="A33" s="2" t="inlineStr">
        <is>
          <t>Escenarios</t>
        </is>
      </c>
    </row>
    <row r="34">
      <c r="A34" t="inlineStr">
        <is>
          <t>Escenario</t>
        </is>
      </c>
      <c r="B34" t="inlineStr">
        <is>
          <t>Unidades mes 1</t>
        </is>
      </c>
      <c r="C34" t="inlineStr">
        <is>
          <t>Crecimiento mensual</t>
        </is>
      </c>
      <c r="D34" t="inlineStr">
        <is>
          <t>Factor precio</t>
        </is>
      </c>
      <c r="E34" t="inlineStr">
        <is>
          <t>Origen</t>
        </is>
      </c>
    </row>
    <row r="35">
      <c r="A35" t="inlineStr">
        <is>
          <t>pesimista</t>
        </is>
      </c>
      <c r="B35" s="5" t="n">
        <v>1</v>
      </c>
      <c r="C35" s="5" t="n">
        <v>0</v>
      </c>
      <c r="D35" s="5" t="n">
        <v>0.8</v>
      </c>
      <c r="E35" t="inlineStr">
        <is>
          <t>SUPUESTO: por validar — 1 evento al mes de familiares con 20 % de descuento, sin referidos</t>
        </is>
      </c>
    </row>
    <row r="36">
      <c r="A36" t="inlineStr">
        <is>
          <t>base</t>
        </is>
      </c>
      <c r="B36" s="5" t="n">
        <v>2</v>
      </c>
      <c r="C36" s="5" t="n">
        <v>0.1</v>
      </c>
      <c r="D36" s="5" t="n">
        <v>1</v>
      </c>
      <c r="E36" t="inlineStr">
        <is>
          <t>SUPUESTO: por validar — 2 eventos/mes desde el mes 1 (fin de año) y +10 %/mes por fotos y referidos</t>
        </is>
      </c>
    </row>
    <row r="37">
      <c r="A37" t="inlineStr">
        <is>
          <t>optimista</t>
        </is>
      </c>
      <c r="B37" s="5" t="n">
        <v>3</v>
      </c>
      <c r="C37" s="5" t="n">
        <v>0.12</v>
      </c>
      <c r="D37" s="5" t="n">
        <v>1</v>
      </c>
      <c r="E37" t="inlineStr">
        <is>
          <t>SUPUESTO: por validar — 3 en el mes 1 y +12 %/mes; límite físico: solo fines de semana (F2)</t>
        </is>
      </c>
    </row>
    <row r="39">
      <c r="A39" t="inlineStr">
        <is>
          <t>Horas/semana requeridas (pico: mes 12 del escenario base)</t>
        </is>
      </c>
      <c r="B39">
        <f>'I5 Supuestos'!$B$10+'I5 Supuestos'!$B$11*'I5 Supuestos'!$B$36*(1+'I5 Supuestos'!$C$36)^(12-1)/(4.333333333333333)</f>
        <v/>
      </c>
      <c r="C39" t="inlineStr">
        <is>
          <t>ESTIMADO: horas fijas/semana + horas por unidad × unidades del mes 12 del escenario base ÷ 4,33 semanas/mes (pico del año 1)</t>
        </is>
      </c>
      <c r="D39" t="inlineStr"/>
    </row>
    <row r="40">
      <c r="A40" t="inlineStr">
        <is>
          <t>Rango del precio por validar (mín – máx)</t>
        </is>
      </c>
      <c r="B40" s="5" t="n">
        <v>150</v>
      </c>
      <c r="C40" s="5" t="n">
        <v>400</v>
      </c>
      <c r="D40" t="inlineStr">
        <is>
          <t>ver hoja Unitario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selection activeCell="A1" sqref="A1"/>
    </sheetView>
  </sheetViews>
  <sheetFormatPr baseColWidth="8" defaultRowHeight="15"/>
  <cols>
    <col width="60" customWidth="1" min="1" max="1"/>
    <col width="16" customWidth="1" min="2" max="2"/>
    <col width="90" customWidth="1" min="3" max="3"/>
  </cols>
  <sheetData>
    <row r="1">
      <c r="A1" s="2" t="inlineStr">
        <is>
          <t>Economía unitaria — 5. Decoración para eventos pequeños (ficha 05) (precio de lista)</t>
        </is>
      </c>
    </row>
    <row r="2">
      <c r="A2" t="inlineStr">
        <is>
          <t>Concepto</t>
        </is>
      </c>
      <c r="B2" t="inlineStr">
        <is>
          <t>S/</t>
        </is>
      </c>
      <c r="C2" t="inlineStr">
        <is>
          <t>Fórmula</t>
        </is>
      </c>
    </row>
    <row r="3">
      <c r="A3" t="inlineStr">
        <is>
          <t>Precio al cliente</t>
        </is>
      </c>
      <c r="B3">
        <f>'I5 Supuestos'!$B$4</f>
        <v/>
      </c>
      <c r="C3" t="inlineStr">
        <is>
          <t>'='I5 Supuestos'!$B$4</t>
        </is>
      </c>
    </row>
    <row r="4">
      <c r="A4" t="inlineStr">
        <is>
          <t>Ingreso neto (sin IGV)</t>
        </is>
      </c>
      <c r="B4">
        <f>IF('I5 Supuestos'!$B$5=1,'I5 Unitario'!$B$3/(1+'I5 Supuestos'!$B$6),'I5 Unitario'!$B$3)</f>
        <v/>
      </c>
      <c r="C4" t="inlineStr">
        <is>
          <t>'=IF('I5 Supuestos'!$B$5=1,'I5 Unitario'!$B$3/(1+'I5 Supuestos'!$B$6),'I5 Unitario'!$B$3)</t>
        </is>
      </c>
    </row>
    <row r="5">
      <c r="A5" t="inlineStr">
        <is>
          <t>Comisión pasarela</t>
        </is>
      </c>
      <c r="B5">
        <f>'I5 Unitario'!$B$3*'I5 Supuestos'!$B$7+'I5 Supuestos'!$B$8</f>
        <v/>
      </c>
      <c r="C5" t="inlineStr">
        <is>
          <t>'='I5 Unitario'!$B$3*'I5 Supuestos'!$B$7+'I5 Supuestos'!$B$8</t>
        </is>
      </c>
    </row>
    <row r="6">
      <c r="A6" t="inlineStr">
        <is>
          <t>Impuesto a la renta</t>
        </is>
      </c>
      <c r="B6">
        <f>'I5 Unitario'!$B$4*'I5 Supuestos'!$B$9</f>
        <v/>
      </c>
      <c r="C6" t="inlineStr">
        <is>
          <t>'='I5 Unitario'!$B$4*'I5 Supuestos'!$B$9</t>
        </is>
      </c>
    </row>
    <row r="7">
      <c r="A7" t="inlineStr">
        <is>
          <t>Costo variable directo</t>
        </is>
      </c>
      <c r="B7">
        <f>'I5 Supuestos'!$B$31</f>
        <v/>
      </c>
      <c r="C7" t="inlineStr">
        <is>
          <t>'='I5 Supuestos'!$B$31</t>
        </is>
      </c>
    </row>
    <row r="8">
      <c r="A8" t="inlineStr">
        <is>
          <t>Costo variable total</t>
        </is>
      </c>
      <c r="B8">
        <f>'I5 Unitario'!$B$7+'I5 Unitario'!$B$5+'I5 Unitario'!$B$6</f>
        <v/>
      </c>
      <c r="C8" t="inlineStr">
        <is>
          <t>'='I5 Unitario'!$B$7+'I5 Unitario'!$B$5+'I5 Unitario'!$B$6</t>
        </is>
      </c>
    </row>
    <row r="9">
      <c r="A9" t="inlineStr">
        <is>
          <t>Margen por unidad</t>
        </is>
      </c>
      <c r="B9">
        <f>'I5 Unitario'!$B$4-'I5 Unitario'!$B$8</f>
        <v/>
      </c>
      <c r="C9" t="inlineStr">
        <is>
          <t>'='I5 Unitario'!$B$4-'I5 Unitario'!$B$8</t>
        </is>
      </c>
    </row>
    <row r="10">
      <c r="A10" t="inlineStr">
        <is>
          <t>Margen % sobre ingreso neto</t>
        </is>
      </c>
      <c r="B10">
        <f>IF('I5 Unitario'!$B$4=0,0,'I5 Unitario'!$B$9/'I5 Unitario'!$B$4)</f>
        <v/>
      </c>
      <c r="C10" t="inlineStr">
        <is>
          <t>'=IF('I5 Unitario'!$B$4=0,0,'I5 Unitario'!$B$9/'I5 Unitario'!$B$4)</t>
        </is>
      </c>
    </row>
    <row r="11">
      <c r="A11" t="inlineStr">
        <is>
          <t>Costos fijos mensuales</t>
        </is>
      </c>
      <c r="B11">
        <f>'I5 Supuestos'!$B$25</f>
        <v/>
      </c>
      <c r="C11" t="inlineStr">
        <is>
          <t>'='I5 Supuestos'!$B$25</t>
        </is>
      </c>
    </row>
    <row r="12">
      <c r="A12" t="inlineStr">
        <is>
          <t>Punto de equilibrio (unidades/mes)</t>
        </is>
      </c>
      <c r="B12">
        <f>IF('I5 Unitario'!$B$9&gt;0,'I5 Unitario'!$B$11/'I5 Unitario'!$B$9,"no alcanzable")</f>
        <v/>
      </c>
      <c r="C12" t="inlineStr">
        <is>
          <t>'=IF('I5 Unitario'!$B$9&gt;0,'I5 Unitario'!$B$11/'I5 Unitario'!$B$9,"no alcanzable")</t>
        </is>
      </c>
    </row>
    <row r="13">
      <c r="A13" t="inlineStr">
        <is>
          <t>Punto de equilibrio (S/ ventas/mes)</t>
        </is>
      </c>
      <c r="B13">
        <f>IF(ISNUMBER('I5 Unitario'!$B$12),'I5 Unitario'!$B$12*'I5 Unitario'!$B$3,"no alcanzable")</f>
        <v/>
      </c>
      <c r="C13" t="inlineStr">
        <is>
          <t>'=IF(ISNUMBER('I5 Unitario'!$B$12),'I5 Unitario'!$B$12*'I5 Unitario'!$B$3,"no alcanzable")</t>
        </is>
      </c>
    </row>
    <row r="14">
      <c r="A14" t="inlineStr">
        <is>
          <t>Inversión inicial</t>
        </is>
      </c>
      <c r="B14">
        <f>'I5 Supuestos'!$B$19</f>
        <v/>
      </c>
      <c r="C14" t="inlineStr">
        <is>
          <t>'='I5 Supuestos'!$B$19</t>
        </is>
      </c>
    </row>
    <row r="15">
      <c r="A15" t="inlineStr">
        <is>
          <t>F1: inversión ≤ tope</t>
        </is>
      </c>
      <c r="B15">
        <f>IF('I5 Unitario'!$B$14&lt;=Globales!$B$4,"sí","NO")</f>
        <v/>
      </c>
      <c r="C15" t="inlineStr">
        <is>
          <t>'=IF('I5 Unitario'!$B$14&lt;=Globales!$B$4,"sí","NO")</t>
        </is>
      </c>
    </row>
    <row r="16">
      <c r="A16" t="inlineStr">
        <is>
          <t>F1: fijos ≤ tope mensual</t>
        </is>
      </c>
      <c r="B16">
        <f>IF('I5 Unitario'!$B$11&lt;=Globales!$B$5,"sí","NO")</f>
        <v/>
      </c>
      <c r="C16" t="inlineStr">
        <is>
          <t>'=IF('I5 Unitario'!$B$11&lt;=Globales!$B$5,"sí","NO")</t>
        </is>
      </c>
    </row>
    <row r="17">
      <c r="A17" t="inlineStr">
        <is>
          <t>Unidades/mes para cubrir 1 sueldo</t>
        </is>
      </c>
      <c r="B17">
        <f>IF('I5 Unitario'!$B$9&gt;0,('I5 Unitario'!$B$11+Globales!$B$9)/'I5 Unitario'!$B$9,"no alcanzable")</f>
        <v/>
      </c>
      <c r="C17" t="inlineStr">
        <is>
          <t>'=IF('I5 Unitario'!$B$9&gt;0,('I5 Unitario'!$B$11+Globales!$B$9)/'I5 Unitario'!$B$9,"no alcanzable")</t>
        </is>
      </c>
    </row>
    <row r="18">
      <c r="A18" t="inlineStr">
        <is>
          <t>Horas/semana para cubrir 1 sueldo</t>
        </is>
      </c>
      <c r="B18">
        <f>IF(ISNUMBER('I5 Unitario'!$B$17),'I5 Supuestos'!$B$10+'I5 Supuestos'!$B$11*'I5 Unitario'!$B$17/(4.333333333333333),"n/a")</f>
        <v/>
      </c>
      <c r="C18" t="inlineStr">
        <is>
          <t>'=IF(ISNUMBER('I5 Unitario'!$B$17),'I5 Supuestos'!$B$10+'I5 Supuestos'!$B$11*'I5 Unitario'!$B$17/(4.333333333333333),"n/a")</t>
        </is>
      </c>
    </row>
    <row r="19">
      <c r="A19" t="inlineStr">
        <is>
          <t>Unidades/mes para cubrir 2 sueldos</t>
        </is>
      </c>
      <c r="B19">
        <f>IF('I5 Unitario'!$B$9&gt;0,('I5 Unitario'!$B$11+2*Globales!$B$9)/'I5 Unitario'!$B$9,"no alcanzable")</f>
        <v/>
      </c>
      <c r="C19" t="inlineStr">
        <is>
          <t>'=IF('I5 Unitario'!$B$9&gt;0,('I5 Unitario'!$B$11+2*Globales!$B$9)/'I5 Unitario'!$B$9,"no alcanzable")</t>
        </is>
      </c>
    </row>
    <row r="20">
      <c r="A20" t="inlineStr">
        <is>
          <t>Horas/semana para cubrir 2 sueldos</t>
        </is>
      </c>
      <c r="B20">
        <f>IF(ISNUMBER('I5 Unitario'!$B$19),'I5 Supuestos'!$B$10+'I5 Supuestos'!$B$11*'I5 Unitario'!$B$19/(4.333333333333333),"n/a")</f>
        <v/>
      </c>
      <c r="C20" t="inlineStr">
        <is>
          <t>'=IF(ISNUMBER('I5 Unitario'!$B$19),'I5 Supuestos'!$B$10+'I5 Supuestos'!$B$11*'I5 Unitario'!$B$19/(4.333333333333333),"n/a")</t>
        </is>
      </c>
    </row>
    <row r="21"/>
    <row r="22">
      <c r="A22" s="2" t="inlineStr">
        <is>
          <t>Variantes (mismo precio de lista)</t>
        </is>
      </c>
      <c r="B22" t="inlineStr">
        <is>
          <t>Margen/u</t>
        </is>
      </c>
    </row>
    <row r="23">
      <c r="A23" t="inlineStr">
        <is>
          <t>Nuevo RUS cat. 1: sin IGV, sin renta %, +cuota como fijo → margen</t>
        </is>
      </c>
      <c r="B23">
        <f>'I5 Unitario'!$B$3-('I5 Unitario'!$B$7+'I5 Unitario'!$B$5)</f>
        <v/>
      </c>
      <c r="C23" t="inlineStr">
        <is>
          <t>'='I5 Unitario'!$B$3-('I5 Unitario'!$B$7+'I5 Unitario'!$B$5)</t>
        </is>
      </c>
    </row>
    <row r="24">
      <c r="A24" t="inlineStr">
        <is>
          <t>Nuevo RUS: punto de equilibrio (u/mes)</t>
        </is>
      </c>
      <c r="B24">
        <f>IF('I5 Unitario'!$B$23&gt;0,('I5 Unitario'!$B$11+Globales!$B$10)/'I5 Unitario'!$B$23,"no alcanzable")</f>
        <v/>
      </c>
      <c r="C24" t="inlineStr">
        <is>
          <t>'=IF('I5 Unitario'!$B$23&gt;0,('I5 Unitario'!$B$11+Globales!$B$10)/'I5 Unitario'!$B$23,"no alcanzable")</t>
        </is>
      </c>
    </row>
    <row r="25">
      <c r="A25" t="inlineStr">
        <is>
          <t>4.ª categoría: sin IGV, retención 8 % → margen</t>
        </is>
      </c>
      <c r="B25">
        <f>'I5 Unitario'!$B$3-('I5 Unitario'!$B$7+'I5 Unitario'!$B$5+'I5 Unitario'!$B$3*Globales!$B$11)</f>
        <v/>
      </c>
      <c r="C25" t="inlineStr">
        <is>
          <t>'='I5 Unitario'!$B$3-('I5 Unitario'!$B$7+'I5 Unitario'!$B$5+'I5 Unitario'!$B$3*Globales!$B$11)</t>
        </is>
      </c>
    </row>
    <row r="26">
      <c r="A26" t="inlineStr">
        <is>
          <t>RER + pasarela Culqi → margen</t>
        </is>
      </c>
      <c r="B26">
        <f>'I5 Unitario'!$B$4-('I5 Unitario'!$B$7+'I5 Unitario'!$B$3*Globales!$B$12+Globales!$B$13+'I5 Unitario'!$B$6)</f>
        <v/>
      </c>
      <c r="C26" t="inlineStr">
        <is>
          <t>'='I5 Unitario'!$B$4-('I5 Unitario'!$B$7+'I5 Unitario'!$B$3*Globales!$B$12+Globales!$B$13+'I5 Unitario'!$B$6)</t>
        </is>
      </c>
    </row>
    <row r="27">
      <c r="A27" t="inlineStr">
        <is>
          <t>Margen/u con precio mínimo del rango</t>
        </is>
      </c>
      <c r="B27">
        <f>IF('I5 Supuestos'!$B$5=1,'I5 Supuestos'!$B$40/(1+'I5 Supuestos'!$B$6),'I5 Supuestos'!$B$40)-('I5 Unitario'!$B$7+'I5 Supuestos'!$B$40*'I5 Supuestos'!$B$7+'I5 Supuestos'!$B$8+IF('I5 Supuestos'!$B$5=1,'I5 Supuestos'!$B$40/(1+'I5 Supuestos'!$B$6),'I5 Supuestos'!$B$40)*'I5 Supuestos'!$B$9)</f>
        <v/>
      </c>
      <c r="C27" t="inlineStr">
        <is>
          <t>'=IF('I5 Supuestos'!$B$5=1,'I5 Supuestos'!$B$40/(1+'I5 Supuestos'!$B$6),'I5 Supuestos'!$B$40)-('I5 Unitario'!$B$7+'I5 Supuestos'!$B$40*'I5 Supuestos'!$B$7+'I5 Supuestos'!$B$8+IF('I5 Supuestos'!$B$5=1,'I5 Supuestos'!$B$40/(1+'I5 Supuestos'!$B$6),'I5 Supuestos'!$B$40)*'I5 Supuestos'!$B$9)</t>
        </is>
      </c>
    </row>
    <row r="28">
      <c r="A28" t="inlineStr">
        <is>
          <t>Margen/u con precio máximo del rango</t>
        </is>
      </c>
      <c r="B28">
        <f>IF('I5 Supuestos'!$B$5=1,'I5 Supuestos'!$C$40/(1+'I5 Supuestos'!$B$6),'I5 Supuestos'!$C$40)-('I5 Unitario'!$B$7+'I5 Supuestos'!$C$40*'I5 Supuestos'!$B$7+'I5 Supuestos'!$B$8+IF('I5 Supuestos'!$B$5=1,'I5 Supuestos'!$C$40/(1+'I5 Supuestos'!$B$6),'I5 Supuestos'!$C$40)*'I5 Supuestos'!$B$9)</f>
        <v/>
      </c>
      <c r="C28" t="inlineStr">
        <is>
          <t>'=IF('I5 Supuestos'!$B$5=1,'I5 Supuestos'!$C$40/(1+'I5 Supuestos'!$B$6),'I5 Supuestos'!$C$40)-('I5 Unitario'!$B$7+'I5 Supuestos'!$C$40*'I5 Supuestos'!$B$7+'I5 Supuestos'!$B$8+IF('I5 Supuestos'!$B$5=1,'I5 Supuestos'!$C$40/(1+'I5 Supuestos'!$B$6),'I5 Supuestos'!$C$40)*'I5 Supuestos'!$B$9)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N55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2" t="inlineStr">
        <is>
          <t>Flujo de caja a 12 meses — 5. Decoración para eventos pequeños (ficha 05). Escenarios, no predicciones.</t>
        </is>
      </c>
    </row>
    <row r="3">
      <c r="A3" s="2" t="inlineStr">
        <is>
          <t>Escenario pesimista</t>
        </is>
      </c>
    </row>
    <row r="4">
      <c r="A4" t="inlineStr">
        <is>
          <t>Precio escenario</t>
        </is>
      </c>
      <c r="B4">
        <f>'I5 Supuestos'!$B$4*'I5 Supuestos'!$D$35</f>
        <v/>
      </c>
    </row>
    <row r="5">
      <c r="A5" t="inlineStr">
        <is>
          <t>Ingreso neto unitario</t>
        </is>
      </c>
      <c r="B5">
        <f>IF('I5 Supuestos'!$B$5=1,B4/(1+'I5 Supuestos'!$B$6),B4)</f>
        <v/>
      </c>
    </row>
    <row r="6">
      <c r="A6" t="inlineStr">
        <is>
          <t>Costo variable total unitario</t>
        </is>
      </c>
      <c r="B6">
        <f>'I5 Supuestos'!$B$31+B4*'I5 Supuestos'!$B$7+'I5 Supuestos'!$B$8+B5*'I5 Supuestos'!$B$9</f>
        <v/>
      </c>
    </row>
    <row r="7">
      <c r="A7" t="inlineStr">
        <is>
          <t>Costos fijos mensuales</t>
        </is>
      </c>
      <c r="B7">
        <f>'I5 Supuestos'!$B$25</f>
        <v/>
      </c>
    </row>
    <row r="8">
      <c r="A8" t="inlineStr">
        <is>
          <t>Inversión inicial</t>
        </is>
      </c>
      <c r="B8">
        <f>'I5 Supuestos'!$B$19</f>
        <v/>
      </c>
    </row>
    <row r="9">
      <c r="A9" s="3" t="inlineStr">
        <is>
          <t>Mes</t>
        </is>
      </c>
      <c r="B9" s="3" t="n">
        <v>1</v>
      </c>
      <c r="C9" s="3" t="n">
        <v>2</v>
      </c>
      <c r="D9" s="3" t="n">
        <v>3</v>
      </c>
      <c r="E9" s="3" t="n">
        <v>4</v>
      </c>
      <c r="F9" s="3" t="n">
        <v>5</v>
      </c>
      <c r="G9" s="3" t="n">
        <v>6</v>
      </c>
      <c r="H9" s="3" t="n">
        <v>7</v>
      </c>
      <c r="I9" s="3" t="n">
        <v>8</v>
      </c>
      <c r="J9" s="3" t="n">
        <v>9</v>
      </c>
      <c r="K9" s="3" t="n">
        <v>10</v>
      </c>
      <c r="L9" s="3" t="n">
        <v>11</v>
      </c>
      <c r="M9" s="3" t="n">
        <v>12</v>
      </c>
      <c r="N9" s="3" t="inlineStr">
        <is>
          <t>Total 12 m</t>
        </is>
      </c>
    </row>
    <row r="10">
      <c r="A10" t="inlineStr">
        <is>
          <t>Unidades</t>
        </is>
      </c>
      <c r="B10">
        <f>'I5 Supuestos'!$B$35*(1+'I5 Supuestos'!$C$35)^(1-1)</f>
        <v/>
      </c>
      <c r="C10">
        <f>'I5 Supuestos'!$B$35*(1+'I5 Supuestos'!$C$35)^(2-1)</f>
        <v/>
      </c>
      <c r="D10">
        <f>'I5 Supuestos'!$B$35*(1+'I5 Supuestos'!$C$35)^(3-1)</f>
        <v/>
      </c>
      <c r="E10">
        <f>'I5 Supuestos'!$B$35*(1+'I5 Supuestos'!$C$35)^(4-1)</f>
        <v/>
      </c>
      <c r="F10">
        <f>'I5 Supuestos'!$B$35*(1+'I5 Supuestos'!$C$35)^(5-1)</f>
        <v/>
      </c>
      <c r="G10">
        <f>'I5 Supuestos'!$B$35*(1+'I5 Supuestos'!$C$35)^(6-1)</f>
        <v/>
      </c>
      <c r="H10">
        <f>'I5 Supuestos'!$B$35*(1+'I5 Supuestos'!$C$35)^(7-1)</f>
        <v/>
      </c>
      <c r="I10">
        <f>'I5 Supuestos'!$B$35*(1+'I5 Supuestos'!$C$35)^(8-1)</f>
        <v/>
      </c>
      <c r="J10">
        <f>'I5 Supuestos'!$B$35*(1+'I5 Supuestos'!$C$35)^(9-1)</f>
        <v/>
      </c>
      <c r="K10">
        <f>'I5 Supuestos'!$B$35*(1+'I5 Supuestos'!$C$35)^(10-1)</f>
        <v/>
      </c>
      <c r="L10">
        <f>'I5 Supuestos'!$B$35*(1+'I5 Supuestos'!$C$35)^(11-1)</f>
        <v/>
      </c>
      <c r="M10">
        <f>'I5 Supuestos'!$B$35*(1+'I5 Supuestos'!$C$35)^(12-1)</f>
        <v/>
      </c>
      <c r="N10">
        <f>SUM(B10:M10)</f>
        <v/>
      </c>
    </row>
    <row r="11">
      <c r="A11" t="inlineStr">
        <is>
          <t>Ingresos netos</t>
        </is>
      </c>
      <c r="B11">
        <f>B10*$B$5</f>
        <v/>
      </c>
      <c r="C11">
        <f>C10*$B$5</f>
        <v/>
      </c>
      <c r="D11">
        <f>D10*$B$5</f>
        <v/>
      </c>
      <c r="E11">
        <f>E10*$B$5</f>
        <v/>
      </c>
      <c r="F11">
        <f>F10*$B$5</f>
        <v/>
      </c>
      <c r="G11">
        <f>G10*$B$5</f>
        <v/>
      </c>
      <c r="H11">
        <f>H10*$B$5</f>
        <v/>
      </c>
      <c r="I11">
        <f>I10*$B$5</f>
        <v/>
      </c>
      <c r="J11">
        <f>J10*$B$5</f>
        <v/>
      </c>
      <c r="K11">
        <f>K10*$B$5</f>
        <v/>
      </c>
      <c r="L11">
        <f>L10*$B$5</f>
        <v/>
      </c>
      <c r="M11">
        <f>M10*$B$5</f>
        <v/>
      </c>
      <c r="N11">
        <f>SUM(B11:M11)</f>
        <v/>
      </c>
    </row>
    <row r="12">
      <c r="A12" t="inlineStr">
        <is>
          <t>Costos variables</t>
        </is>
      </c>
      <c r="B12">
        <f>B10*$B$6</f>
        <v/>
      </c>
      <c r="C12">
        <f>C10*$B$6</f>
        <v/>
      </c>
      <c r="D12">
        <f>D10*$B$6</f>
        <v/>
      </c>
      <c r="E12">
        <f>E10*$B$6</f>
        <v/>
      </c>
      <c r="F12">
        <f>F10*$B$6</f>
        <v/>
      </c>
      <c r="G12">
        <f>G10*$B$6</f>
        <v/>
      </c>
      <c r="H12">
        <f>H10*$B$6</f>
        <v/>
      </c>
      <c r="I12">
        <f>I10*$B$6</f>
        <v/>
      </c>
      <c r="J12">
        <f>J10*$B$6</f>
        <v/>
      </c>
      <c r="K12">
        <f>K10*$B$6</f>
        <v/>
      </c>
      <c r="L12">
        <f>L10*$B$6</f>
        <v/>
      </c>
      <c r="M12">
        <f>M10*$B$6</f>
        <v/>
      </c>
      <c r="N12">
        <f>SUM(B12:M12)</f>
        <v/>
      </c>
    </row>
    <row r="13">
      <c r="A13" t="inlineStr">
        <is>
          <t>Costos fijos</t>
        </is>
      </c>
      <c r="B13">
        <f>$B$7</f>
        <v/>
      </c>
      <c r="C13">
        <f>$B$7</f>
        <v/>
      </c>
      <c r="D13">
        <f>$B$7</f>
        <v/>
      </c>
      <c r="E13">
        <f>$B$7</f>
        <v/>
      </c>
      <c r="F13">
        <f>$B$7</f>
        <v/>
      </c>
      <c r="G13">
        <f>$B$7</f>
        <v/>
      </c>
      <c r="H13">
        <f>$B$7</f>
        <v/>
      </c>
      <c r="I13">
        <f>$B$7</f>
        <v/>
      </c>
      <c r="J13">
        <f>$B$7</f>
        <v/>
      </c>
      <c r="K13">
        <f>$B$7</f>
        <v/>
      </c>
      <c r="L13">
        <f>$B$7</f>
        <v/>
      </c>
      <c r="M13">
        <f>$B$7</f>
        <v/>
      </c>
      <c r="N13">
        <f>SUM(B13:M13)</f>
        <v/>
      </c>
    </row>
    <row r="14">
      <c r="A14" t="inlineStr">
        <is>
          <t>Flujo neto</t>
        </is>
      </c>
      <c r="B14">
        <f>B11-B12-B13</f>
        <v/>
      </c>
      <c r="C14">
        <f>C11-C12-C13</f>
        <v/>
      </c>
      <c r="D14">
        <f>D11-D12-D13</f>
        <v/>
      </c>
      <c r="E14">
        <f>E11-E12-E13</f>
        <v/>
      </c>
      <c r="F14">
        <f>F11-F12-F13</f>
        <v/>
      </c>
      <c r="G14">
        <f>G11-G12-G13</f>
        <v/>
      </c>
      <c r="H14">
        <f>H11-H12-H13</f>
        <v/>
      </c>
      <c r="I14">
        <f>I11-I12-I13</f>
        <v/>
      </c>
      <c r="J14">
        <f>J11-J12-J13</f>
        <v/>
      </c>
      <c r="K14">
        <f>K11-K12-K13</f>
        <v/>
      </c>
      <c r="L14">
        <f>L11-L12-L13</f>
        <v/>
      </c>
      <c r="M14">
        <f>M11-M12-M13</f>
        <v/>
      </c>
      <c r="N14">
        <f>SUM(B14:M14)</f>
        <v/>
      </c>
    </row>
    <row r="15">
      <c r="A15" t="inlineStr">
        <is>
          <t>Acumulado (tras inversión)</t>
        </is>
      </c>
      <c r="B15">
        <f>-$B$8+B14</f>
        <v/>
      </c>
      <c r="C15">
        <f>B15+C14</f>
        <v/>
      </c>
      <c r="D15">
        <f>C15+D14</f>
        <v/>
      </c>
      <c r="E15">
        <f>D15+E14</f>
        <v/>
      </c>
      <c r="F15">
        <f>E15+F14</f>
        <v/>
      </c>
      <c r="G15">
        <f>F15+G14</f>
        <v/>
      </c>
      <c r="H15">
        <f>G15+H14</f>
        <v/>
      </c>
      <c r="I15">
        <f>H15+I14</f>
        <v/>
      </c>
      <c r="J15">
        <f>I15+J14</f>
        <v/>
      </c>
      <c r="K15">
        <f>J15+K14</f>
        <v/>
      </c>
      <c r="L15">
        <f>K15+L14</f>
        <v/>
      </c>
      <c r="M15">
        <f>L15+M14</f>
        <v/>
      </c>
      <c r="N15" s="2">
        <f>M15</f>
        <v/>
      </c>
    </row>
    <row r="16">
      <c r="A16" t="inlineStr">
        <is>
          <t>Mes en que acumulado ≥ 0</t>
        </is>
      </c>
      <c r="B16">
        <f>IF(B15&gt;=0,1,"")</f>
        <v/>
      </c>
      <c r="C16">
        <f>IF(C15&gt;=0,2,"")</f>
        <v/>
      </c>
      <c r="D16">
        <f>IF(D15&gt;=0,3,"")</f>
        <v/>
      </c>
      <c r="E16">
        <f>IF(E15&gt;=0,4,"")</f>
        <v/>
      </c>
      <c r="F16">
        <f>IF(F15&gt;=0,5,"")</f>
        <v/>
      </c>
      <c r="G16">
        <f>IF(G15&gt;=0,6,"")</f>
        <v/>
      </c>
      <c r="H16">
        <f>IF(H15&gt;=0,7,"")</f>
        <v/>
      </c>
      <c r="I16">
        <f>IF(I15&gt;=0,8,"")</f>
        <v/>
      </c>
      <c r="J16">
        <f>IF(J15&gt;=0,9,"")</f>
        <v/>
      </c>
      <c r="K16">
        <f>IF(K15&gt;=0,10,"")</f>
        <v/>
      </c>
      <c r="L16">
        <f>IF(L15&gt;=0,11,"")</f>
        <v/>
      </c>
      <c r="M16">
        <f>IF(M15&gt;=0,12,"")</f>
        <v/>
      </c>
      <c r="N16" s="2">
        <f>IF(COUNT(B16:M16)=0,"no en 12 meses",MIN(B16:M16))</f>
        <v/>
      </c>
    </row>
    <row r="17">
      <c r="A17" t="inlineStr">
        <is>
          <t>Horas/semana</t>
        </is>
      </c>
      <c r="B17">
        <f>'I5 Supuestos'!$B$10+'I5 Supuestos'!$B$11*B10/(4.333333333333333)</f>
        <v/>
      </c>
      <c r="C17">
        <f>'I5 Supuestos'!$B$10+'I5 Supuestos'!$B$11*C10/(4.333333333333333)</f>
        <v/>
      </c>
      <c r="D17">
        <f>'I5 Supuestos'!$B$10+'I5 Supuestos'!$B$11*D10/(4.333333333333333)</f>
        <v/>
      </c>
      <c r="E17">
        <f>'I5 Supuestos'!$B$10+'I5 Supuestos'!$B$11*E10/(4.333333333333333)</f>
        <v/>
      </c>
      <c r="F17">
        <f>'I5 Supuestos'!$B$10+'I5 Supuestos'!$B$11*F10/(4.333333333333333)</f>
        <v/>
      </c>
      <c r="G17">
        <f>'I5 Supuestos'!$B$10+'I5 Supuestos'!$B$11*G10/(4.333333333333333)</f>
        <v/>
      </c>
      <c r="H17">
        <f>'I5 Supuestos'!$B$10+'I5 Supuestos'!$B$11*H10/(4.333333333333333)</f>
        <v/>
      </c>
      <c r="I17">
        <f>'I5 Supuestos'!$B$10+'I5 Supuestos'!$B$11*I10/(4.333333333333333)</f>
        <v/>
      </c>
      <c r="J17">
        <f>'I5 Supuestos'!$B$10+'I5 Supuestos'!$B$11*J10/(4.333333333333333)</f>
        <v/>
      </c>
      <c r="K17">
        <f>'I5 Supuestos'!$B$10+'I5 Supuestos'!$B$11*K10/(4.333333333333333)</f>
        <v/>
      </c>
      <c r="L17">
        <f>'I5 Supuestos'!$B$10+'I5 Supuestos'!$B$11*L10/(4.333333333333333)</f>
        <v/>
      </c>
      <c r="M17">
        <f>'I5 Supuestos'!$B$10+'I5 Supuestos'!$B$11*M10/(4.333333333333333)</f>
        <v/>
      </c>
      <c r="N17" s="2">
        <f>MAX(B17:M17)</f>
        <v/>
      </c>
    </row>
    <row r="18">
      <c r="A18" t="inlineStr">
        <is>
          <t>Capital disponible (inicial + aportes)</t>
        </is>
      </c>
      <c r="B18">
        <f>Globales!$B$2+Globales!$B$3*1</f>
        <v/>
      </c>
      <c r="C18">
        <f>Globales!$B$2+Globales!$B$3*2</f>
        <v/>
      </c>
      <c r="D18">
        <f>Globales!$B$2+Globales!$B$3*3</f>
        <v/>
      </c>
      <c r="E18">
        <f>Globales!$B$2+Globales!$B$3*4</f>
        <v/>
      </c>
      <c r="F18">
        <f>Globales!$B$2+Globales!$B$3*5</f>
        <v/>
      </c>
      <c r="G18">
        <f>Globales!$B$2+Globales!$B$3*6</f>
        <v/>
      </c>
      <c r="H18">
        <f>Globales!$B$2+Globales!$B$3*7</f>
        <v/>
      </c>
      <c r="I18">
        <f>Globales!$B$2+Globales!$B$3*8</f>
        <v/>
      </c>
      <c r="J18">
        <f>Globales!$B$2+Globales!$B$3*9</f>
        <v/>
      </c>
      <c r="K18">
        <f>Globales!$B$2+Globales!$B$3*10</f>
        <v/>
      </c>
      <c r="L18">
        <f>Globales!$B$2+Globales!$B$3*11</f>
        <v/>
      </c>
      <c r="M18">
        <f>Globales!$B$2+Globales!$B$3*12</f>
        <v/>
      </c>
      <c r="N18" s="2">
        <f>IF(SUMPRODUCT(--(-B15:M15&gt;B18:M18))=0,"cabe en el capital","NO cabe")</f>
        <v/>
      </c>
    </row>
    <row r="19">
      <c r="A19" t="inlineStr">
        <is>
          <t>Mes en que flujo neto ≥ 1 sueldo</t>
        </is>
      </c>
      <c r="B19">
        <f>IF(B14&gt;=Globales!$B$9,1,"")</f>
        <v/>
      </c>
      <c r="C19">
        <f>IF(C14&gt;=Globales!$B$9,2,"")</f>
        <v/>
      </c>
      <c r="D19">
        <f>IF(D14&gt;=Globales!$B$9,3,"")</f>
        <v/>
      </c>
      <c r="E19">
        <f>IF(E14&gt;=Globales!$B$9,4,"")</f>
        <v/>
      </c>
      <c r="F19">
        <f>IF(F14&gt;=Globales!$B$9,5,"")</f>
        <v/>
      </c>
      <c r="G19">
        <f>IF(G14&gt;=Globales!$B$9,6,"")</f>
        <v/>
      </c>
      <c r="H19">
        <f>IF(H14&gt;=Globales!$B$9,7,"")</f>
        <v/>
      </c>
      <c r="I19">
        <f>IF(I14&gt;=Globales!$B$9,8,"")</f>
        <v/>
      </c>
      <c r="J19">
        <f>IF(J14&gt;=Globales!$B$9,9,"")</f>
        <v/>
      </c>
      <c r="K19">
        <f>IF(K14&gt;=Globales!$B$9,10,"")</f>
        <v/>
      </c>
      <c r="L19">
        <f>IF(L14&gt;=Globales!$B$9,11,"")</f>
        <v/>
      </c>
      <c r="M19">
        <f>IF(M14&gt;=Globales!$B$9,12,"")</f>
        <v/>
      </c>
      <c r="N19" s="2">
        <f>IF(COUNT(B19:M19)=0,"no en 12 meses",MIN(B19:M19))</f>
        <v/>
      </c>
    </row>
    <row r="21">
      <c r="A21" s="2" t="inlineStr">
        <is>
          <t>Escenario base</t>
        </is>
      </c>
    </row>
    <row r="22">
      <c r="A22" t="inlineStr">
        <is>
          <t>Precio escenario</t>
        </is>
      </c>
      <c r="B22">
        <f>'I5 Supuestos'!$B$4*'I5 Supuestos'!$D$36</f>
        <v/>
      </c>
    </row>
    <row r="23">
      <c r="A23" t="inlineStr">
        <is>
          <t>Ingreso neto unitario</t>
        </is>
      </c>
      <c r="B23">
        <f>IF('I5 Supuestos'!$B$5=1,B22/(1+'I5 Supuestos'!$B$6),B22)</f>
        <v/>
      </c>
    </row>
    <row r="24">
      <c r="A24" t="inlineStr">
        <is>
          <t>Costo variable total unitario</t>
        </is>
      </c>
      <c r="B24">
        <f>'I5 Supuestos'!$B$31+B22*'I5 Supuestos'!$B$7+'I5 Supuestos'!$B$8+B23*'I5 Supuestos'!$B$9</f>
        <v/>
      </c>
    </row>
    <row r="25">
      <c r="A25" t="inlineStr">
        <is>
          <t>Costos fijos mensuales</t>
        </is>
      </c>
      <c r="B25">
        <f>'I5 Supuestos'!$B$25</f>
        <v/>
      </c>
    </row>
    <row r="26">
      <c r="A26" t="inlineStr">
        <is>
          <t>Inversión inicial</t>
        </is>
      </c>
      <c r="B26">
        <f>'I5 Supuestos'!$B$19</f>
        <v/>
      </c>
    </row>
    <row r="27">
      <c r="A27" s="3" t="inlineStr">
        <is>
          <t>Mes</t>
        </is>
      </c>
      <c r="B27" s="3" t="n">
        <v>1</v>
      </c>
      <c r="C27" s="3" t="n">
        <v>2</v>
      </c>
      <c r="D27" s="3" t="n">
        <v>3</v>
      </c>
      <c r="E27" s="3" t="n">
        <v>4</v>
      </c>
      <c r="F27" s="3" t="n">
        <v>5</v>
      </c>
      <c r="G27" s="3" t="n">
        <v>6</v>
      </c>
      <c r="H27" s="3" t="n">
        <v>7</v>
      </c>
      <c r="I27" s="3" t="n">
        <v>8</v>
      </c>
      <c r="J27" s="3" t="n">
        <v>9</v>
      </c>
      <c r="K27" s="3" t="n">
        <v>10</v>
      </c>
      <c r="L27" s="3" t="n">
        <v>11</v>
      </c>
      <c r="M27" s="3" t="n">
        <v>12</v>
      </c>
      <c r="N27" s="3" t="inlineStr">
        <is>
          <t>Total 12 m</t>
        </is>
      </c>
    </row>
    <row r="28">
      <c r="A28" t="inlineStr">
        <is>
          <t>Unidades</t>
        </is>
      </c>
      <c r="B28">
        <f>'I5 Supuestos'!$B$36*(1+'I5 Supuestos'!$C$36)^(1-1)</f>
        <v/>
      </c>
      <c r="C28">
        <f>'I5 Supuestos'!$B$36*(1+'I5 Supuestos'!$C$36)^(2-1)</f>
        <v/>
      </c>
      <c r="D28">
        <f>'I5 Supuestos'!$B$36*(1+'I5 Supuestos'!$C$36)^(3-1)</f>
        <v/>
      </c>
      <c r="E28">
        <f>'I5 Supuestos'!$B$36*(1+'I5 Supuestos'!$C$36)^(4-1)</f>
        <v/>
      </c>
      <c r="F28">
        <f>'I5 Supuestos'!$B$36*(1+'I5 Supuestos'!$C$36)^(5-1)</f>
        <v/>
      </c>
      <c r="G28">
        <f>'I5 Supuestos'!$B$36*(1+'I5 Supuestos'!$C$36)^(6-1)</f>
        <v/>
      </c>
      <c r="H28">
        <f>'I5 Supuestos'!$B$36*(1+'I5 Supuestos'!$C$36)^(7-1)</f>
        <v/>
      </c>
      <c r="I28">
        <f>'I5 Supuestos'!$B$36*(1+'I5 Supuestos'!$C$36)^(8-1)</f>
        <v/>
      </c>
      <c r="J28">
        <f>'I5 Supuestos'!$B$36*(1+'I5 Supuestos'!$C$36)^(9-1)</f>
        <v/>
      </c>
      <c r="K28">
        <f>'I5 Supuestos'!$B$36*(1+'I5 Supuestos'!$C$36)^(10-1)</f>
        <v/>
      </c>
      <c r="L28">
        <f>'I5 Supuestos'!$B$36*(1+'I5 Supuestos'!$C$36)^(11-1)</f>
        <v/>
      </c>
      <c r="M28">
        <f>'I5 Supuestos'!$B$36*(1+'I5 Supuestos'!$C$36)^(12-1)</f>
        <v/>
      </c>
      <c r="N28">
        <f>SUM(B28:M28)</f>
        <v/>
      </c>
    </row>
    <row r="29">
      <c r="A29" t="inlineStr">
        <is>
          <t>Ingresos netos</t>
        </is>
      </c>
      <c r="B29">
        <f>B28*$B$23</f>
        <v/>
      </c>
      <c r="C29">
        <f>C28*$B$23</f>
        <v/>
      </c>
      <c r="D29">
        <f>D28*$B$23</f>
        <v/>
      </c>
      <c r="E29">
        <f>E28*$B$23</f>
        <v/>
      </c>
      <c r="F29">
        <f>F28*$B$23</f>
        <v/>
      </c>
      <c r="G29">
        <f>G28*$B$23</f>
        <v/>
      </c>
      <c r="H29">
        <f>H28*$B$23</f>
        <v/>
      </c>
      <c r="I29">
        <f>I28*$B$23</f>
        <v/>
      </c>
      <c r="J29">
        <f>J28*$B$23</f>
        <v/>
      </c>
      <c r="K29">
        <f>K28*$B$23</f>
        <v/>
      </c>
      <c r="L29">
        <f>L28*$B$23</f>
        <v/>
      </c>
      <c r="M29">
        <f>M28*$B$23</f>
        <v/>
      </c>
      <c r="N29">
        <f>SUM(B29:M29)</f>
        <v/>
      </c>
    </row>
    <row r="30">
      <c r="A30" t="inlineStr">
        <is>
          <t>Costos variables</t>
        </is>
      </c>
      <c r="B30">
        <f>B28*$B$24</f>
        <v/>
      </c>
      <c r="C30">
        <f>C28*$B$24</f>
        <v/>
      </c>
      <c r="D30">
        <f>D28*$B$24</f>
        <v/>
      </c>
      <c r="E30">
        <f>E28*$B$24</f>
        <v/>
      </c>
      <c r="F30">
        <f>F28*$B$24</f>
        <v/>
      </c>
      <c r="G30">
        <f>G28*$B$24</f>
        <v/>
      </c>
      <c r="H30">
        <f>H28*$B$24</f>
        <v/>
      </c>
      <c r="I30">
        <f>I28*$B$24</f>
        <v/>
      </c>
      <c r="J30">
        <f>J28*$B$24</f>
        <v/>
      </c>
      <c r="K30">
        <f>K28*$B$24</f>
        <v/>
      </c>
      <c r="L30">
        <f>L28*$B$24</f>
        <v/>
      </c>
      <c r="M30">
        <f>M28*$B$24</f>
        <v/>
      </c>
      <c r="N30">
        <f>SUM(B30:M30)</f>
        <v/>
      </c>
    </row>
    <row r="31">
      <c r="A31" t="inlineStr">
        <is>
          <t>Costos fijos</t>
        </is>
      </c>
      <c r="B31">
        <f>$B$25</f>
        <v/>
      </c>
      <c r="C31">
        <f>$B$25</f>
        <v/>
      </c>
      <c r="D31">
        <f>$B$25</f>
        <v/>
      </c>
      <c r="E31">
        <f>$B$25</f>
        <v/>
      </c>
      <c r="F31">
        <f>$B$25</f>
        <v/>
      </c>
      <c r="G31">
        <f>$B$25</f>
        <v/>
      </c>
      <c r="H31">
        <f>$B$25</f>
        <v/>
      </c>
      <c r="I31">
        <f>$B$25</f>
        <v/>
      </c>
      <c r="J31">
        <f>$B$25</f>
        <v/>
      </c>
      <c r="K31">
        <f>$B$25</f>
        <v/>
      </c>
      <c r="L31">
        <f>$B$25</f>
        <v/>
      </c>
      <c r="M31">
        <f>$B$25</f>
        <v/>
      </c>
      <c r="N31">
        <f>SUM(B31:M31)</f>
        <v/>
      </c>
    </row>
    <row r="32">
      <c r="A32" t="inlineStr">
        <is>
          <t>Flujo neto</t>
        </is>
      </c>
      <c r="B32">
        <f>B29-B30-B31</f>
        <v/>
      </c>
      <c r="C32">
        <f>C29-C30-C31</f>
        <v/>
      </c>
      <c r="D32">
        <f>D29-D30-D31</f>
        <v/>
      </c>
      <c r="E32">
        <f>E29-E30-E31</f>
        <v/>
      </c>
      <c r="F32">
        <f>F29-F30-F31</f>
        <v/>
      </c>
      <c r="G32">
        <f>G29-G30-G31</f>
        <v/>
      </c>
      <c r="H32">
        <f>H29-H30-H31</f>
        <v/>
      </c>
      <c r="I32">
        <f>I29-I30-I31</f>
        <v/>
      </c>
      <c r="J32">
        <f>J29-J30-J31</f>
        <v/>
      </c>
      <c r="K32">
        <f>K29-K30-K31</f>
        <v/>
      </c>
      <c r="L32">
        <f>L29-L30-L31</f>
        <v/>
      </c>
      <c r="M32">
        <f>M29-M30-M31</f>
        <v/>
      </c>
      <c r="N32">
        <f>SUM(B32:M32)</f>
        <v/>
      </c>
    </row>
    <row r="33">
      <c r="A33" t="inlineStr">
        <is>
          <t>Acumulado (tras inversión)</t>
        </is>
      </c>
      <c r="B33">
        <f>-$B$26+B32</f>
        <v/>
      </c>
      <c r="C33">
        <f>B33+C32</f>
        <v/>
      </c>
      <c r="D33">
        <f>C33+D32</f>
        <v/>
      </c>
      <c r="E33">
        <f>D33+E32</f>
        <v/>
      </c>
      <c r="F33">
        <f>E33+F32</f>
        <v/>
      </c>
      <c r="G33">
        <f>F33+G32</f>
        <v/>
      </c>
      <c r="H33">
        <f>G33+H32</f>
        <v/>
      </c>
      <c r="I33">
        <f>H33+I32</f>
        <v/>
      </c>
      <c r="J33">
        <f>I33+J32</f>
        <v/>
      </c>
      <c r="K33">
        <f>J33+K32</f>
        <v/>
      </c>
      <c r="L33">
        <f>K33+L32</f>
        <v/>
      </c>
      <c r="M33">
        <f>L33+M32</f>
        <v/>
      </c>
      <c r="N33" s="2">
        <f>M33</f>
        <v/>
      </c>
    </row>
    <row r="34">
      <c r="A34" t="inlineStr">
        <is>
          <t>Mes en que acumulado ≥ 0</t>
        </is>
      </c>
      <c r="B34">
        <f>IF(B33&gt;=0,1,"")</f>
        <v/>
      </c>
      <c r="C34">
        <f>IF(C33&gt;=0,2,"")</f>
        <v/>
      </c>
      <c r="D34">
        <f>IF(D33&gt;=0,3,"")</f>
        <v/>
      </c>
      <c r="E34">
        <f>IF(E33&gt;=0,4,"")</f>
        <v/>
      </c>
      <c r="F34">
        <f>IF(F33&gt;=0,5,"")</f>
        <v/>
      </c>
      <c r="G34">
        <f>IF(G33&gt;=0,6,"")</f>
        <v/>
      </c>
      <c r="H34">
        <f>IF(H33&gt;=0,7,"")</f>
        <v/>
      </c>
      <c r="I34">
        <f>IF(I33&gt;=0,8,"")</f>
        <v/>
      </c>
      <c r="J34">
        <f>IF(J33&gt;=0,9,"")</f>
        <v/>
      </c>
      <c r="K34">
        <f>IF(K33&gt;=0,10,"")</f>
        <v/>
      </c>
      <c r="L34">
        <f>IF(L33&gt;=0,11,"")</f>
        <v/>
      </c>
      <c r="M34">
        <f>IF(M33&gt;=0,12,"")</f>
        <v/>
      </c>
      <c r="N34" s="2">
        <f>IF(COUNT(B34:M34)=0,"no en 12 meses",MIN(B34:M34))</f>
        <v/>
      </c>
    </row>
    <row r="35">
      <c r="A35" t="inlineStr">
        <is>
          <t>Horas/semana</t>
        </is>
      </c>
      <c r="B35">
        <f>'I5 Supuestos'!$B$10+'I5 Supuestos'!$B$11*B28/(4.333333333333333)</f>
        <v/>
      </c>
      <c r="C35">
        <f>'I5 Supuestos'!$B$10+'I5 Supuestos'!$B$11*C28/(4.333333333333333)</f>
        <v/>
      </c>
      <c r="D35">
        <f>'I5 Supuestos'!$B$10+'I5 Supuestos'!$B$11*D28/(4.333333333333333)</f>
        <v/>
      </c>
      <c r="E35">
        <f>'I5 Supuestos'!$B$10+'I5 Supuestos'!$B$11*E28/(4.333333333333333)</f>
        <v/>
      </c>
      <c r="F35">
        <f>'I5 Supuestos'!$B$10+'I5 Supuestos'!$B$11*F28/(4.333333333333333)</f>
        <v/>
      </c>
      <c r="G35">
        <f>'I5 Supuestos'!$B$10+'I5 Supuestos'!$B$11*G28/(4.333333333333333)</f>
        <v/>
      </c>
      <c r="H35">
        <f>'I5 Supuestos'!$B$10+'I5 Supuestos'!$B$11*H28/(4.333333333333333)</f>
        <v/>
      </c>
      <c r="I35">
        <f>'I5 Supuestos'!$B$10+'I5 Supuestos'!$B$11*I28/(4.333333333333333)</f>
        <v/>
      </c>
      <c r="J35">
        <f>'I5 Supuestos'!$B$10+'I5 Supuestos'!$B$11*J28/(4.333333333333333)</f>
        <v/>
      </c>
      <c r="K35">
        <f>'I5 Supuestos'!$B$10+'I5 Supuestos'!$B$11*K28/(4.333333333333333)</f>
        <v/>
      </c>
      <c r="L35">
        <f>'I5 Supuestos'!$B$10+'I5 Supuestos'!$B$11*L28/(4.333333333333333)</f>
        <v/>
      </c>
      <c r="M35">
        <f>'I5 Supuestos'!$B$10+'I5 Supuestos'!$B$11*M28/(4.333333333333333)</f>
        <v/>
      </c>
      <c r="N35" s="2">
        <f>MAX(B35:M35)</f>
        <v/>
      </c>
    </row>
    <row r="36">
      <c r="A36" t="inlineStr">
        <is>
          <t>Capital disponible (inicial + aportes)</t>
        </is>
      </c>
      <c r="B36">
        <f>Globales!$B$2+Globales!$B$3*1</f>
        <v/>
      </c>
      <c r="C36">
        <f>Globales!$B$2+Globales!$B$3*2</f>
        <v/>
      </c>
      <c r="D36">
        <f>Globales!$B$2+Globales!$B$3*3</f>
        <v/>
      </c>
      <c r="E36">
        <f>Globales!$B$2+Globales!$B$3*4</f>
        <v/>
      </c>
      <c r="F36">
        <f>Globales!$B$2+Globales!$B$3*5</f>
        <v/>
      </c>
      <c r="G36">
        <f>Globales!$B$2+Globales!$B$3*6</f>
        <v/>
      </c>
      <c r="H36">
        <f>Globales!$B$2+Globales!$B$3*7</f>
        <v/>
      </c>
      <c r="I36">
        <f>Globales!$B$2+Globales!$B$3*8</f>
        <v/>
      </c>
      <c r="J36">
        <f>Globales!$B$2+Globales!$B$3*9</f>
        <v/>
      </c>
      <c r="K36">
        <f>Globales!$B$2+Globales!$B$3*10</f>
        <v/>
      </c>
      <c r="L36">
        <f>Globales!$B$2+Globales!$B$3*11</f>
        <v/>
      </c>
      <c r="M36">
        <f>Globales!$B$2+Globales!$B$3*12</f>
        <v/>
      </c>
      <c r="N36" s="2">
        <f>IF(SUMPRODUCT(--(-B33:M33&gt;B36:M36))=0,"cabe en el capital","NO cabe")</f>
        <v/>
      </c>
    </row>
    <row r="37">
      <c r="A37" t="inlineStr">
        <is>
          <t>Mes en que flujo neto ≥ 1 sueldo</t>
        </is>
      </c>
      <c r="B37">
        <f>IF(B32&gt;=Globales!$B$9,1,"")</f>
        <v/>
      </c>
      <c r="C37">
        <f>IF(C32&gt;=Globales!$B$9,2,"")</f>
        <v/>
      </c>
      <c r="D37">
        <f>IF(D32&gt;=Globales!$B$9,3,"")</f>
        <v/>
      </c>
      <c r="E37">
        <f>IF(E32&gt;=Globales!$B$9,4,"")</f>
        <v/>
      </c>
      <c r="F37">
        <f>IF(F32&gt;=Globales!$B$9,5,"")</f>
        <v/>
      </c>
      <c r="G37">
        <f>IF(G32&gt;=Globales!$B$9,6,"")</f>
        <v/>
      </c>
      <c r="H37">
        <f>IF(H32&gt;=Globales!$B$9,7,"")</f>
        <v/>
      </c>
      <c r="I37">
        <f>IF(I32&gt;=Globales!$B$9,8,"")</f>
        <v/>
      </c>
      <c r="J37">
        <f>IF(J32&gt;=Globales!$B$9,9,"")</f>
        <v/>
      </c>
      <c r="K37">
        <f>IF(K32&gt;=Globales!$B$9,10,"")</f>
        <v/>
      </c>
      <c r="L37">
        <f>IF(L32&gt;=Globales!$B$9,11,"")</f>
        <v/>
      </c>
      <c r="M37">
        <f>IF(M32&gt;=Globales!$B$9,12,"")</f>
        <v/>
      </c>
      <c r="N37" s="2">
        <f>IF(COUNT(B37:M37)=0,"no en 12 meses",MIN(B37:M37))</f>
        <v/>
      </c>
    </row>
    <row r="39">
      <c r="A39" s="2" t="inlineStr">
        <is>
          <t>Escenario optimista</t>
        </is>
      </c>
    </row>
    <row r="40">
      <c r="A40" t="inlineStr">
        <is>
          <t>Precio escenario</t>
        </is>
      </c>
      <c r="B40">
        <f>'I5 Supuestos'!$B$4*'I5 Supuestos'!$D$37</f>
        <v/>
      </c>
    </row>
    <row r="41">
      <c r="A41" t="inlineStr">
        <is>
          <t>Ingreso neto unitario</t>
        </is>
      </c>
      <c r="B41">
        <f>IF('I5 Supuestos'!$B$5=1,B40/(1+'I5 Supuestos'!$B$6),B40)</f>
        <v/>
      </c>
    </row>
    <row r="42">
      <c r="A42" t="inlineStr">
        <is>
          <t>Costo variable total unitario</t>
        </is>
      </c>
      <c r="B42">
        <f>'I5 Supuestos'!$B$31+B40*'I5 Supuestos'!$B$7+'I5 Supuestos'!$B$8+B41*'I5 Supuestos'!$B$9</f>
        <v/>
      </c>
    </row>
    <row r="43">
      <c r="A43" t="inlineStr">
        <is>
          <t>Costos fijos mensuales</t>
        </is>
      </c>
      <c r="B43">
        <f>'I5 Supuestos'!$B$25</f>
        <v/>
      </c>
    </row>
    <row r="44">
      <c r="A44" t="inlineStr">
        <is>
          <t>Inversión inicial</t>
        </is>
      </c>
      <c r="B44">
        <f>'I5 Supuestos'!$B$19</f>
        <v/>
      </c>
    </row>
    <row r="45">
      <c r="A45" s="3" t="inlineStr">
        <is>
          <t>Mes</t>
        </is>
      </c>
      <c r="B45" s="3" t="n">
        <v>1</v>
      </c>
      <c r="C45" s="3" t="n">
        <v>2</v>
      </c>
      <c r="D45" s="3" t="n">
        <v>3</v>
      </c>
      <c r="E45" s="3" t="n">
        <v>4</v>
      </c>
      <c r="F45" s="3" t="n">
        <v>5</v>
      </c>
      <c r="G45" s="3" t="n">
        <v>6</v>
      </c>
      <c r="H45" s="3" t="n">
        <v>7</v>
      </c>
      <c r="I45" s="3" t="n">
        <v>8</v>
      </c>
      <c r="J45" s="3" t="n">
        <v>9</v>
      </c>
      <c r="K45" s="3" t="n">
        <v>10</v>
      </c>
      <c r="L45" s="3" t="n">
        <v>11</v>
      </c>
      <c r="M45" s="3" t="n">
        <v>12</v>
      </c>
      <c r="N45" s="3" t="inlineStr">
        <is>
          <t>Total 12 m</t>
        </is>
      </c>
    </row>
    <row r="46">
      <c r="A46" t="inlineStr">
        <is>
          <t>Unidades</t>
        </is>
      </c>
      <c r="B46">
        <f>'I5 Supuestos'!$B$37*(1+'I5 Supuestos'!$C$37)^(1-1)</f>
        <v/>
      </c>
      <c r="C46">
        <f>'I5 Supuestos'!$B$37*(1+'I5 Supuestos'!$C$37)^(2-1)</f>
        <v/>
      </c>
      <c r="D46">
        <f>'I5 Supuestos'!$B$37*(1+'I5 Supuestos'!$C$37)^(3-1)</f>
        <v/>
      </c>
      <c r="E46">
        <f>'I5 Supuestos'!$B$37*(1+'I5 Supuestos'!$C$37)^(4-1)</f>
        <v/>
      </c>
      <c r="F46">
        <f>'I5 Supuestos'!$B$37*(1+'I5 Supuestos'!$C$37)^(5-1)</f>
        <v/>
      </c>
      <c r="G46">
        <f>'I5 Supuestos'!$B$37*(1+'I5 Supuestos'!$C$37)^(6-1)</f>
        <v/>
      </c>
      <c r="H46">
        <f>'I5 Supuestos'!$B$37*(1+'I5 Supuestos'!$C$37)^(7-1)</f>
        <v/>
      </c>
      <c r="I46">
        <f>'I5 Supuestos'!$B$37*(1+'I5 Supuestos'!$C$37)^(8-1)</f>
        <v/>
      </c>
      <c r="J46">
        <f>'I5 Supuestos'!$B$37*(1+'I5 Supuestos'!$C$37)^(9-1)</f>
        <v/>
      </c>
      <c r="K46">
        <f>'I5 Supuestos'!$B$37*(1+'I5 Supuestos'!$C$37)^(10-1)</f>
        <v/>
      </c>
      <c r="L46">
        <f>'I5 Supuestos'!$B$37*(1+'I5 Supuestos'!$C$37)^(11-1)</f>
        <v/>
      </c>
      <c r="M46">
        <f>'I5 Supuestos'!$B$37*(1+'I5 Supuestos'!$C$37)^(12-1)</f>
        <v/>
      </c>
      <c r="N46">
        <f>SUM(B46:M46)</f>
        <v/>
      </c>
    </row>
    <row r="47">
      <c r="A47" t="inlineStr">
        <is>
          <t>Ingresos netos</t>
        </is>
      </c>
      <c r="B47">
        <f>B46*$B$41</f>
        <v/>
      </c>
      <c r="C47">
        <f>C46*$B$41</f>
        <v/>
      </c>
      <c r="D47">
        <f>D46*$B$41</f>
        <v/>
      </c>
      <c r="E47">
        <f>E46*$B$41</f>
        <v/>
      </c>
      <c r="F47">
        <f>F46*$B$41</f>
        <v/>
      </c>
      <c r="G47">
        <f>G46*$B$41</f>
        <v/>
      </c>
      <c r="H47">
        <f>H46*$B$41</f>
        <v/>
      </c>
      <c r="I47">
        <f>I46*$B$41</f>
        <v/>
      </c>
      <c r="J47">
        <f>J46*$B$41</f>
        <v/>
      </c>
      <c r="K47">
        <f>K46*$B$41</f>
        <v/>
      </c>
      <c r="L47">
        <f>L46*$B$41</f>
        <v/>
      </c>
      <c r="M47">
        <f>M46*$B$41</f>
        <v/>
      </c>
      <c r="N47">
        <f>SUM(B47:M47)</f>
        <v/>
      </c>
    </row>
    <row r="48">
      <c r="A48" t="inlineStr">
        <is>
          <t>Costos variables</t>
        </is>
      </c>
      <c r="B48">
        <f>B46*$B$42</f>
        <v/>
      </c>
      <c r="C48">
        <f>C46*$B$42</f>
        <v/>
      </c>
      <c r="D48">
        <f>D46*$B$42</f>
        <v/>
      </c>
      <c r="E48">
        <f>E46*$B$42</f>
        <v/>
      </c>
      <c r="F48">
        <f>F46*$B$42</f>
        <v/>
      </c>
      <c r="G48">
        <f>G46*$B$42</f>
        <v/>
      </c>
      <c r="H48">
        <f>H46*$B$42</f>
        <v/>
      </c>
      <c r="I48">
        <f>I46*$B$42</f>
        <v/>
      </c>
      <c r="J48">
        <f>J46*$B$42</f>
        <v/>
      </c>
      <c r="K48">
        <f>K46*$B$42</f>
        <v/>
      </c>
      <c r="L48">
        <f>L46*$B$42</f>
        <v/>
      </c>
      <c r="M48">
        <f>M46*$B$42</f>
        <v/>
      </c>
      <c r="N48">
        <f>SUM(B48:M48)</f>
        <v/>
      </c>
    </row>
    <row r="49">
      <c r="A49" t="inlineStr">
        <is>
          <t>Costos fijos</t>
        </is>
      </c>
      <c r="B49">
        <f>$B$43</f>
        <v/>
      </c>
      <c r="C49">
        <f>$B$43</f>
        <v/>
      </c>
      <c r="D49">
        <f>$B$43</f>
        <v/>
      </c>
      <c r="E49">
        <f>$B$43</f>
        <v/>
      </c>
      <c r="F49">
        <f>$B$43</f>
        <v/>
      </c>
      <c r="G49">
        <f>$B$43</f>
        <v/>
      </c>
      <c r="H49">
        <f>$B$43</f>
        <v/>
      </c>
      <c r="I49">
        <f>$B$43</f>
        <v/>
      </c>
      <c r="J49">
        <f>$B$43</f>
        <v/>
      </c>
      <c r="K49">
        <f>$B$43</f>
        <v/>
      </c>
      <c r="L49">
        <f>$B$43</f>
        <v/>
      </c>
      <c r="M49">
        <f>$B$43</f>
        <v/>
      </c>
      <c r="N49">
        <f>SUM(B49:M49)</f>
        <v/>
      </c>
    </row>
    <row r="50">
      <c r="A50" t="inlineStr">
        <is>
          <t>Flujo neto</t>
        </is>
      </c>
      <c r="B50">
        <f>B47-B48-B49</f>
        <v/>
      </c>
      <c r="C50">
        <f>C47-C48-C49</f>
        <v/>
      </c>
      <c r="D50">
        <f>D47-D48-D49</f>
        <v/>
      </c>
      <c r="E50">
        <f>E47-E48-E49</f>
        <v/>
      </c>
      <c r="F50">
        <f>F47-F48-F49</f>
        <v/>
      </c>
      <c r="G50">
        <f>G47-G48-G49</f>
        <v/>
      </c>
      <c r="H50">
        <f>H47-H48-H49</f>
        <v/>
      </c>
      <c r="I50">
        <f>I47-I48-I49</f>
        <v/>
      </c>
      <c r="J50">
        <f>J47-J48-J49</f>
        <v/>
      </c>
      <c r="K50">
        <f>K47-K48-K49</f>
        <v/>
      </c>
      <c r="L50">
        <f>L47-L48-L49</f>
        <v/>
      </c>
      <c r="M50">
        <f>M47-M48-M49</f>
        <v/>
      </c>
      <c r="N50">
        <f>SUM(B50:M50)</f>
        <v/>
      </c>
    </row>
    <row r="51">
      <c r="A51" t="inlineStr">
        <is>
          <t>Acumulado (tras inversión)</t>
        </is>
      </c>
      <c r="B51">
        <f>-$B$44+B50</f>
        <v/>
      </c>
      <c r="C51">
        <f>B51+C50</f>
        <v/>
      </c>
      <c r="D51">
        <f>C51+D50</f>
        <v/>
      </c>
      <c r="E51">
        <f>D51+E50</f>
        <v/>
      </c>
      <c r="F51">
        <f>E51+F50</f>
        <v/>
      </c>
      <c r="G51">
        <f>F51+G50</f>
        <v/>
      </c>
      <c r="H51">
        <f>G51+H50</f>
        <v/>
      </c>
      <c r="I51">
        <f>H51+I50</f>
        <v/>
      </c>
      <c r="J51">
        <f>I51+J50</f>
        <v/>
      </c>
      <c r="K51">
        <f>J51+K50</f>
        <v/>
      </c>
      <c r="L51">
        <f>K51+L50</f>
        <v/>
      </c>
      <c r="M51">
        <f>L51+M50</f>
        <v/>
      </c>
      <c r="N51" s="2">
        <f>M51</f>
        <v/>
      </c>
    </row>
    <row r="52">
      <c r="A52" t="inlineStr">
        <is>
          <t>Mes en que acumulado ≥ 0</t>
        </is>
      </c>
      <c r="B52">
        <f>IF(B51&gt;=0,1,"")</f>
        <v/>
      </c>
      <c r="C52">
        <f>IF(C51&gt;=0,2,"")</f>
        <v/>
      </c>
      <c r="D52">
        <f>IF(D51&gt;=0,3,"")</f>
        <v/>
      </c>
      <c r="E52">
        <f>IF(E51&gt;=0,4,"")</f>
        <v/>
      </c>
      <c r="F52">
        <f>IF(F51&gt;=0,5,"")</f>
        <v/>
      </c>
      <c r="G52">
        <f>IF(G51&gt;=0,6,"")</f>
        <v/>
      </c>
      <c r="H52">
        <f>IF(H51&gt;=0,7,"")</f>
        <v/>
      </c>
      <c r="I52">
        <f>IF(I51&gt;=0,8,"")</f>
        <v/>
      </c>
      <c r="J52">
        <f>IF(J51&gt;=0,9,"")</f>
        <v/>
      </c>
      <c r="K52">
        <f>IF(K51&gt;=0,10,"")</f>
        <v/>
      </c>
      <c r="L52">
        <f>IF(L51&gt;=0,11,"")</f>
        <v/>
      </c>
      <c r="M52">
        <f>IF(M51&gt;=0,12,"")</f>
        <v/>
      </c>
      <c r="N52" s="2">
        <f>IF(COUNT(B52:M52)=0,"no en 12 meses",MIN(B52:M52))</f>
        <v/>
      </c>
    </row>
    <row r="53">
      <c r="A53" t="inlineStr">
        <is>
          <t>Horas/semana</t>
        </is>
      </c>
      <c r="B53">
        <f>'I5 Supuestos'!$B$10+'I5 Supuestos'!$B$11*B46/(4.333333333333333)</f>
        <v/>
      </c>
      <c r="C53">
        <f>'I5 Supuestos'!$B$10+'I5 Supuestos'!$B$11*C46/(4.333333333333333)</f>
        <v/>
      </c>
      <c r="D53">
        <f>'I5 Supuestos'!$B$10+'I5 Supuestos'!$B$11*D46/(4.333333333333333)</f>
        <v/>
      </c>
      <c r="E53">
        <f>'I5 Supuestos'!$B$10+'I5 Supuestos'!$B$11*E46/(4.333333333333333)</f>
        <v/>
      </c>
      <c r="F53">
        <f>'I5 Supuestos'!$B$10+'I5 Supuestos'!$B$11*F46/(4.333333333333333)</f>
        <v/>
      </c>
      <c r="G53">
        <f>'I5 Supuestos'!$B$10+'I5 Supuestos'!$B$11*G46/(4.333333333333333)</f>
        <v/>
      </c>
      <c r="H53">
        <f>'I5 Supuestos'!$B$10+'I5 Supuestos'!$B$11*H46/(4.333333333333333)</f>
        <v/>
      </c>
      <c r="I53">
        <f>'I5 Supuestos'!$B$10+'I5 Supuestos'!$B$11*I46/(4.333333333333333)</f>
        <v/>
      </c>
      <c r="J53">
        <f>'I5 Supuestos'!$B$10+'I5 Supuestos'!$B$11*J46/(4.333333333333333)</f>
        <v/>
      </c>
      <c r="K53">
        <f>'I5 Supuestos'!$B$10+'I5 Supuestos'!$B$11*K46/(4.333333333333333)</f>
        <v/>
      </c>
      <c r="L53">
        <f>'I5 Supuestos'!$B$10+'I5 Supuestos'!$B$11*L46/(4.333333333333333)</f>
        <v/>
      </c>
      <c r="M53">
        <f>'I5 Supuestos'!$B$10+'I5 Supuestos'!$B$11*M46/(4.333333333333333)</f>
        <v/>
      </c>
      <c r="N53" s="2">
        <f>MAX(B53:M53)</f>
        <v/>
      </c>
    </row>
    <row r="54">
      <c r="A54" t="inlineStr">
        <is>
          <t>Capital disponible (inicial + aportes)</t>
        </is>
      </c>
      <c r="B54">
        <f>Globales!$B$2+Globales!$B$3*1</f>
        <v/>
      </c>
      <c r="C54">
        <f>Globales!$B$2+Globales!$B$3*2</f>
        <v/>
      </c>
      <c r="D54">
        <f>Globales!$B$2+Globales!$B$3*3</f>
        <v/>
      </c>
      <c r="E54">
        <f>Globales!$B$2+Globales!$B$3*4</f>
        <v/>
      </c>
      <c r="F54">
        <f>Globales!$B$2+Globales!$B$3*5</f>
        <v/>
      </c>
      <c r="G54">
        <f>Globales!$B$2+Globales!$B$3*6</f>
        <v/>
      </c>
      <c r="H54">
        <f>Globales!$B$2+Globales!$B$3*7</f>
        <v/>
      </c>
      <c r="I54">
        <f>Globales!$B$2+Globales!$B$3*8</f>
        <v/>
      </c>
      <c r="J54">
        <f>Globales!$B$2+Globales!$B$3*9</f>
        <v/>
      </c>
      <c r="K54">
        <f>Globales!$B$2+Globales!$B$3*10</f>
        <v/>
      </c>
      <c r="L54">
        <f>Globales!$B$2+Globales!$B$3*11</f>
        <v/>
      </c>
      <c r="M54">
        <f>Globales!$B$2+Globales!$B$3*12</f>
        <v/>
      </c>
      <c r="N54" s="2">
        <f>IF(SUMPRODUCT(--(-B51:M51&gt;B54:M54))=0,"cabe en el capital","NO cabe")</f>
        <v/>
      </c>
    </row>
    <row r="55">
      <c r="A55" t="inlineStr">
        <is>
          <t>Mes en que flujo neto ≥ 1 sueldo</t>
        </is>
      </c>
      <c r="B55">
        <f>IF(B50&gt;=Globales!$B$9,1,"")</f>
        <v/>
      </c>
      <c r="C55">
        <f>IF(C50&gt;=Globales!$B$9,2,"")</f>
        <v/>
      </c>
      <c r="D55">
        <f>IF(D50&gt;=Globales!$B$9,3,"")</f>
        <v/>
      </c>
      <c r="E55">
        <f>IF(E50&gt;=Globales!$B$9,4,"")</f>
        <v/>
      </c>
      <c r="F55">
        <f>IF(F50&gt;=Globales!$B$9,5,"")</f>
        <v/>
      </c>
      <c r="G55">
        <f>IF(G50&gt;=Globales!$B$9,6,"")</f>
        <v/>
      </c>
      <c r="H55">
        <f>IF(H50&gt;=Globales!$B$9,7,"")</f>
        <v/>
      </c>
      <c r="I55">
        <f>IF(I50&gt;=Globales!$B$9,8,"")</f>
        <v/>
      </c>
      <c r="J55">
        <f>IF(J50&gt;=Globales!$B$9,9,"")</f>
        <v/>
      </c>
      <c r="K55">
        <f>IF(K50&gt;=Globales!$B$9,10,"")</f>
        <v/>
      </c>
      <c r="L55">
        <f>IF(L50&gt;=Globales!$B$9,11,"")</f>
        <v/>
      </c>
      <c r="M55">
        <f>IF(M50&gt;=Globales!$B$9,12,"")</f>
        <v/>
      </c>
      <c r="N55" s="2">
        <f>IF(COUNT(B55:M55)=0,"no en 12 meses",MIN(B55:M55))</f>
        <v/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16" customWidth="1" min="3" max="3"/>
    <col width="16" customWidth="1" min="4" max="4"/>
    <col width="16" customWidth="1" min="5" max="5"/>
    <col width="14" customWidth="1" min="6" max="6"/>
  </cols>
  <sheetData>
    <row r="1">
      <c r="A1" s="2" t="inlineStr">
        <is>
          <t>Sensibilidad — 5. Decoración para eventos pequeños (ficha 05) — escenario base, ±20 % una variable a la vez</t>
        </is>
      </c>
    </row>
    <row r="2">
      <c r="A2" t="inlineStr">
        <is>
          <t>Resultado 12 m = Σ unidades × margen unitario − 12 × fijos − inversión; Σ unidades = u1·((1+g)^12−1)/g</t>
        </is>
      </c>
    </row>
    <row r="3">
      <c r="A3" t="inlineStr">
        <is>
          <t>Variación</t>
        </is>
      </c>
      <c r="B3" s="5" t="n">
        <v>0.2</v>
      </c>
    </row>
    <row r="4">
      <c r="A4" s="3" t="inlineStr">
        <is>
          <t>Variable</t>
        </is>
      </c>
      <c r="B4" s="3" t="inlineStr">
        <is>
          <t>Valor base</t>
        </is>
      </c>
      <c r="C4" s="3" t="inlineStr">
        <is>
          <t>Resultado base</t>
        </is>
      </c>
      <c r="D4" s="3" t="inlineStr">
        <is>
          <t>Resultado −var</t>
        </is>
      </c>
      <c r="E4" s="3" t="inlineStr">
        <is>
          <t>Resultado +var</t>
        </is>
      </c>
      <c r="F4" s="3" t="inlineStr">
        <is>
          <t>Rango (abs)</t>
        </is>
      </c>
    </row>
    <row r="5">
      <c r="A5" t="inlineStr">
        <is>
          <t>precio</t>
        </is>
      </c>
      <c r="B5">
        <f>'I5 Supuestos'!$B$4</f>
        <v/>
      </c>
      <c r="C5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5">
        <f>IF('I5 Supuestos'!$C$36=0,12*'I5 Supuestos'!$B$36,'I5 Supuestos'!$B$36*((1+'I5 Supuestos'!$C$36)^12-1)/'I5 Supuestos'!$C$36)*(IF('I5 Supuestos'!$B$5=1,(('I5 Supuestos'!$B$4*(1-$B$3))*'I5 Supuestos'!$D$36)/(1+'I5 Supuestos'!$B$6),(('I5 Supuestos'!$B$4*(1-$B$3))*'I5 Supuestos'!$D$36))-('I5 Supuestos'!$B$31+(('I5 Supuestos'!$B$4*(1-$B$3))*'I5 Supuestos'!$D$36)*'I5 Supuestos'!$B$7+'I5 Supuestos'!$B$8+IF('I5 Supuestos'!$B$5=1,(('I5 Supuestos'!$B$4*(1-$B$3))*'I5 Supuestos'!$D$36)/(1+'I5 Supuestos'!$B$6),(('I5 Supuestos'!$B$4*(1-$B$3))*'I5 Supuestos'!$D$36))*'I5 Supuestos'!$B$9))-12*'I5 Supuestos'!$B$25-'I5 Supuestos'!$B$19</f>
        <v/>
      </c>
      <c r="E5">
        <f>IF('I5 Supuestos'!$C$36=0,12*'I5 Supuestos'!$B$36,'I5 Supuestos'!$B$36*((1+'I5 Supuestos'!$C$36)^12-1)/'I5 Supuestos'!$C$36)*(IF('I5 Supuestos'!$B$5=1,(('I5 Supuestos'!$B$4*(1+$B$3))*'I5 Supuestos'!$D$36)/(1+'I5 Supuestos'!$B$6),(('I5 Supuestos'!$B$4*(1+$B$3))*'I5 Supuestos'!$D$36))-('I5 Supuestos'!$B$31+(('I5 Supuestos'!$B$4*(1+$B$3))*'I5 Supuestos'!$D$36)*'I5 Supuestos'!$B$7+'I5 Supuestos'!$B$8+IF('I5 Supuestos'!$B$5=1,(('I5 Supuestos'!$B$4*(1+$B$3))*'I5 Supuestos'!$D$36)/(1+'I5 Supuestos'!$B$6),(('I5 Supuestos'!$B$4*(1+$B$3))*'I5 Supuestos'!$D$36))*'I5 Supuestos'!$B$9))-12*'I5 Supuestos'!$B$25-'I5 Supuestos'!$B$19</f>
        <v/>
      </c>
      <c r="F5">
        <f>ABS(E5-D5)</f>
        <v/>
      </c>
    </row>
    <row r="6">
      <c r="A6" t="inlineStr">
        <is>
          <t>unidades_mes1</t>
        </is>
      </c>
      <c r="B6">
        <f>'I5 Supuestos'!$B$36</f>
        <v/>
      </c>
      <c r="C6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6">
        <f>IF('I5 Supuestos'!$C$36=0,12*('I5 Supuestos'!$B$36*(1-$B$3)),('I5 Supuestos'!$B$36*(1-$B$3))*((1+'I5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E6">
        <f>IF('I5 Supuestos'!$C$36=0,12*('I5 Supuestos'!$B$36*(1+$B$3)),('I5 Supuestos'!$B$36*(1+$B$3))*((1+'I5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F6">
        <f>ABS(E6-D6)</f>
        <v/>
      </c>
    </row>
    <row r="7">
      <c r="A7" t="inlineStr">
        <is>
          <t>crecimiento</t>
        </is>
      </c>
      <c r="B7">
        <f>'I5 Supuestos'!$C$36</f>
        <v/>
      </c>
      <c r="C7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7">
        <f>IF(('I5 Supuestos'!$C$36*(1-$B$3))=0,12*'I5 Supuestos'!$B$36,'I5 Supuestos'!$B$36*((1+('I5 Supuestos'!$C$36*(1-$B$3)))^12-1)/('I5 Supuestos'!$C$36*(1-$B$3)))*(IF('I5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E7">
        <f>IF(('I5 Supuestos'!$C$36*(1+$B$3))=0,12*'I5 Supuestos'!$B$36,'I5 Supuestos'!$B$36*((1+('I5 Supuestos'!$C$36*(1+$B$3)))^12-1)/('I5 Supuestos'!$C$36*(1+$B$3)))*(IF('I5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F7">
        <f>ABS(E7-D7)</f>
        <v/>
      </c>
    </row>
    <row r="8">
      <c r="A8" t="inlineStr">
        <is>
          <t>cv_directo</t>
        </is>
      </c>
      <c r="B8">
        <f>'I5 Supuestos'!$B$31</f>
        <v/>
      </c>
      <c r="C8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8">
        <f>IF('I5 Supuestos'!$C$36=0,12*'I5 Supuestos'!$B$36,'I5 Supuestos'!$B$36*((1+'I5 Supuestos'!$C$36)^12-1)/'I5 Supuestos'!$C$36)*(IF('I5 Supuestos'!$B$5=1,('I5 Supuestos'!$B$4*'I5 Supuestos'!$D$36)/(1+'I5 Supuestos'!$B$6),('I5 Supuestos'!$B$4*'I5 Supuestos'!$D$36))-(('I5 Supuestos'!$B$31*(1-$B$3))+('I5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E8">
        <f>IF('I5 Supuestos'!$C$36=0,12*'I5 Supuestos'!$B$36,'I5 Supuestos'!$B$36*((1+'I5 Supuestos'!$C$36)^12-1)/'I5 Supuestos'!$C$36)*(IF('I5 Supuestos'!$B$5=1,('I5 Supuestos'!$B$4*'I5 Supuestos'!$D$36)/(1+'I5 Supuestos'!$B$6),('I5 Supuestos'!$B$4*'I5 Supuestos'!$D$36))-(('I5 Supuestos'!$B$31*(1+$B$3))+('I5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F8">
        <f>ABS(E8-D8)</f>
        <v/>
      </c>
    </row>
    <row r="9">
      <c r="A9" t="inlineStr">
        <is>
          <t>fijos</t>
        </is>
      </c>
      <c r="B9">
        <f>'I5 Supuestos'!$B$25</f>
        <v/>
      </c>
      <c r="C9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9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Supuestos'!$B$9))-12*('I5 Supuestos'!$B$25*(1-$B$3))-'I5 Supuestos'!$B$19</f>
        <v/>
      </c>
      <c r="E9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Supuestos'!$B$9))-12*('I5 Supuestos'!$B$25*(1+$B$3))-'I5 Supuestos'!$B$19</f>
        <v/>
      </c>
      <c r="F9">
        <f>ABS(E9-D9)</f>
        <v/>
      </c>
    </row>
    <row r="10">
      <c r="A10" t="inlineStr">
        <is>
          <t>inversion</t>
        </is>
      </c>
      <c r="B10">
        <f>'I5 Supuestos'!$B$19</f>
        <v/>
      </c>
      <c r="C10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10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Supuestos'!$B$25-('I5 Supuestos'!$B$19*(1-$B$3))</f>
        <v/>
      </c>
      <c r="E10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Supuestos'!$B$25-('I5 Supuestos'!$B$19*(1+$B$3))</f>
        <v/>
      </c>
      <c r="F10">
        <f>ABS(E10-D10)</f>
        <v/>
      </c>
    </row>
    <row r="11">
      <c r="A11" t="inlineStr">
        <is>
          <t>tasa_pasarela</t>
        </is>
      </c>
      <c r="B11">
        <f>'I5 Supuestos'!$B$7</f>
        <v/>
      </c>
      <c r="C11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11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Supuestos'!$D$36)*('I5 Supuestos'!$B$7*(1-$B$3))+'I5 Supuestos'!$B$8+IF('I5 Supuestos'!$B$5=1,('I5 Supuestos'!$B$4*'I5 Supuestos'!$D$36)/(1+'I5 Supuestos'!$B$6),('I5 Supuestos'!$B$4*'I5 Supuestos'!$D$36))*'I5 Supuestos'!$B$9))-12*'I5 Supuestos'!$B$25-'I5 Supuestos'!$B$19</f>
        <v/>
      </c>
      <c r="E11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Supuestos'!$D$36)*('I5 Supuestos'!$B$7*(1+$B$3))+'I5 Supuestos'!$B$8+IF('I5 Supuestos'!$B$5=1,('I5 Supuestos'!$B$4*'I5 Supuestos'!$D$36)/(1+'I5 Supuestos'!$B$6),('I5 Supuestos'!$B$4*'I5 Supuestos'!$D$36))*'I5 Supuestos'!$B$9))-12*'I5 Supuestos'!$B$25-'I5 Supuestos'!$B$19</f>
        <v/>
      </c>
      <c r="F11">
        <f>ABS(E11-D11)</f>
        <v/>
      </c>
    </row>
    <row r="12">
      <c r="A12" t="inlineStr">
        <is>
          <t>tasa_impuesto_renta</t>
        </is>
      </c>
      <c r="B12">
        <f>'I5 Supuestos'!$B$9</f>
        <v/>
      </c>
      <c r="C12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Supuestos'!$D$36))*'I5 Supuestos'!$B$9))-12*'I5 Supuestos'!$B$25-'I5 Supuestos'!$B$19</f>
        <v/>
      </c>
      <c r="D12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Supuestos'!$D$36))*('I5 Supuestos'!$B$9*(1-$B$3))))-12*'I5 Supuestos'!$B$25-'I5 Supuestos'!$B$19</f>
        <v/>
      </c>
      <c r="E12">
        <f>IF('I5 Supuestos'!$C$36=0,12*'I5 Supuestos'!$B$36,'I5 Supuestos'!$B$36*((1+'I5 Supuestos'!$C$36)^12-1)/'I5 Supuestos'!$C$36)*(IF('I5 Supuestos'!$B$5=1,('I5 Supuestos'!$B$4*'I5 Supuestos'!$D$36)/(1+'I5 Supuestos'!$B$6),('I5 Supuestos'!$B$4*'I5 Supuestos'!$D$36))-('I5 Supuestos'!$B$31+('I5 Supuestos'!$B$4*'I5 Supuestos'!$D$36)*'I5 Supuestos'!$B$7+'I5 Supuestos'!$B$8+IF('I5 Supuestos'!$B$5=1,('I5 Supuestos'!$B$4*'I5 Supuestos'!$D$36)/(1+'I5 Supuestos'!$B$6),('I5 Supuestos'!$B$4*'I5 Supuestos'!$D$36))*('I5 Supuestos'!$B$9*(1+$B$3))))-12*'I5 Supuestos'!$B$25-'I5 Supuestos'!$B$19</f>
        <v/>
      </c>
      <c r="F12">
        <f>ABS(E12-D12)</f>
        <v/>
      </c>
    </row>
    <row r="14">
      <c r="A14" t="inlineStr">
        <is>
          <t>La variable con mayor 'Rango' es la que más mueve el resultado.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2026-10-21T15:09:27Z</dcterms:created>
  <dcterms:modified xmlns:dcterms="http://purl.org/dc/terms/" xmlns:xsi="http://www.w3.org/2001/XMLSchema-instance" xsi:type="dcterms:W3CDTF">2026-10-21T15:09:27Z</dcterms:modified>
</cp:coreProperties>
</file>